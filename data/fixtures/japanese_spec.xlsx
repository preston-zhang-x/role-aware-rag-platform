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oftware\role-aware-rag-platform\data\fixtures\"/>
    </mc:Choice>
  </mc:AlternateContent>
  <xr:revisionPtr revIDLastSave="0" documentId="13_ncr:1_{F100919C-631A-4921-BA08-9528B38CB943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基本設計" sheetId="1" r:id="rId1"/>
    <sheet name="DB定義" sheetId="2" r:id="rId2"/>
    <sheet name="API仕様" sheetId="3" r:id="rId3"/>
    <sheet name="画面設計" sheetId="4" r:id="rId4"/>
    <sheet name="ExcelParser詳細" sheetId="5" r:id="rId5"/>
    <sheet name="メソッドマトリクス" sheetId="6" r:id="rId6"/>
    <sheet name="処理シーケンス" sheetId="7" r:id="rId7"/>
    <sheet name="判定ロジック" sheetId="8" r:id="rId8"/>
    <sheet name="警告・例外一覧" sheetId="9" r:id="rId9"/>
    <sheet name="テスト観点" sheetId="10" r:id="rId10"/>
    <sheet name="計算用_非表示" sheetId="11" state="hidden" r:id="rId11"/>
    <sheet name="設計計算_非表示" sheetId="12" state="hidden" r:id="rId12"/>
  </sheets>
  <definedNames>
    <definedName name="_xlnm._FilterDatabase" localSheetId="9" hidden="1">テスト観点!$A$4:$J$11</definedName>
    <definedName name="_xlnm._FilterDatabase" localSheetId="5" hidden="1">メソッドマトリクス!$A$4:$Q$25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1" l="1"/>
  <c r="C16" i="8"/>
  <c r="C15" i="8"/>
  <c r="D10" i="8"/>
  <c r="D9" i="8"/>
  <c r="E8" i="8"/>
  <c r="D8" i="8"/>
  <c r="F8" i="8" s="1"/>
  <c r="D7" i="8"/>
  <c r="C5" i="8"/>
  <c r="E10" i="8" s="1"/>
  <c r="F10" i="8" s="1"/>
  <c r="D6" i="5"/>
  <c r="F20" i="1"/>
  <c r="E9" i="8" l="1"/>
  <c r="F9" i="8" s="1"/>
  <c r="E7" i="8"/>
  <c r="F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管理者</author>
    <author>レビュー担当</author>
  </authors>
  <commentList>
    <comment ref="F3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田中太郎は4月から異動予定です。</t>
        </r>
      </text>
    </comment>
    <comment ref="H14" authorId="1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パイプ | 改行
全角　スペースを含む。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設計者</author>
  </authors>
  <commentList>
    <comment ref="D7" authorId="0" shapeId="0" xr:uid="{00000000-0006-0000-0300-000001000000}">
      <text>
        <r>
          <rPr>
            <sz val="11"/>
            <color theme="1"/>
            <rFont val="宋体"/>
            <family val="2"/>
            <scheme val="minor"/>
          </rPr>
          <t>画面遷移図は別シート参照。</t>
        </r>
      </text>
    </comment>
  </commentList>
</comments>
</file>

<file path=xl/sharedStrings.xml><?xml version="1.0" encoding="utf-8"?>
<sst xmlns="http://schemas.openxmlformats.org/spreadsheetml/2006/main" count="745" uniqueCount="494">
  <si>
    <t>NFTマーケットプレイス 基本設計書</t>
  </si>
  <si>
    <t>プロジェクト名</t>
  </si>
  <si>
    <t>NFT Lite Business Platform</t>
  </si>
  <si>
    <t>管理番号</t>
  </si>
  <si>
    <t>PRJ-2024-001</t>
  </si>
  <si>
    <t>作成者</t>
  </si>
  <si>
    <t>田中　太郎</t>
  </si>
  <si>
    <t>作成日</t>
  </si>
  <si>
    <t>2024-01-15</t>
  </si>
  <si>
    <t>承認者</t>
  </si>
  <si>
    <t>鈴木部長</t>
  </si>
  <si>
    <t>承認日</t>
  </si>
  <si>
    <t>2024-01-20</t>
  </si>
  <si>
    <t>バージョン</t>
  </si>
  <si>
    <t>2.1.0</t>
  </si>
  <si>
    <t>ステータス</t>
  </si>
  <si>
    <t>レビュー完了</t>
  </si>
  <si>
    <t>1. システム概要</t>
  </si>
  <si>
    <t>本システムはNFTの出品・購入・管理を行う業務向けプラットフォームです。Spring Boot と PostgreSQL を中心に構成します。</t>
  </si>
  <si>
    <t>2. 機能一覧</t>
  </si>
  <si>
    <t>機能ID</t>
  </si>
  <si>
    <t>機能名</t>
  </si>
  <si>
    <t>カテゴリ</t>
  </si>
  <si>
    <t>優先度</t>
  </si>
  <si>
    <t>担当</t>
  </si>
  <si>
    <t>工数</t>
  </si>
  <si>
    <t>進捗</t>
  </si>
  <si>
    <t>備考</t>
  </si>
  <si>
    <t>F-001</t>
  </si>
  <si>
    <t>ログイン</t>
  </si>
  <si>
    <t>認証</t>
  </si>
  <si>
    <t>高</t>
  </si>
  <si>
    <t>佐藤</t>
  </si>
  <si>
    <t>MFA対応</t>
  </si>
  <si>
    <t>F-002</t>
  </si>
  <si>
    <t>会員登録</t>
  </si>
  <si>
    <t>田中</t>
  </si>
  <si>
    <t>招待コード対応</t>
  </si>
  <si>
    <t>F-003</t>
  </si>
  <si>
    <t>商品一覧</t>
  </si>
  <si>
    <t>UI</t>
  </si>
  <si>
    <t>山田</t>
  </si>
  <si>
    <t>検索条件あり</t>
  </si>
  <si>
    <t>F-004</t>
  </si>
  <si>
    <t>商品詳細</t>
  </si>
  <si>
    <t>中</t>
  </si>
  <si>
    <t>画像ギャラリー</t>
  </si>
  <si>
    <t>F-005</t>
  </si>
  <si>
    <t>出品申請</t>
  </si>
  <si>
    <t>業務</t>
  </si>
  <si>
    <t>高橋</t>
  </si>
  <si>
    <t>添付ファイル対応</t>
  </si>
  <si>
    <t>F-006</t>
  </si>
  <si>
    <t>管理画面</t>
  </si>
  <si>
    <t>管理</t>
  </si>
  <si>
    <t>鈴木</t>
  </si>
  <si>
    <t>承認フローあり</t>
  </si>
  <si>
    <t>F-007</t>
  </si>
  <si>
    <t>通知送信</t>
  </si>
  <si>
    <t>バッチ</t>
  </si>
  <si>
    <t>伊藤</t>
  </si>
  <si>
    <t>Slack連携</t>
  </si>
  <si>
    <t>F-008</t>
  </si>
  <si>
    <t>レポート出力</t>
  </si>
  <si>
    <t>帳票</t>
  </si>
  <si>
    <t>低</t>
  </si>
  <si>
    <t>加藤</t>
  </si>
  <si>
    <t>CSV対応</t>
  </si>
  <si>
    <t>合計</t>
  </si>
  <si>
    <t>補足: パイプ | 改行
全角　スペース を含むテキスト</t>
  </si>
  <si>
    <t>users テーブル</t>
  </si>
  <si>
    <t>カラム名</t>
  </si>
  <si>
    <t>型</t>
  </si>
  <si>
    <t>PK</t>
  </si>
  <si>
    <t>NULL</t>
  </si>
  <si>
    <t>デフォルト</t>
  </si>
  <si>
    <t>説明</t>
  </si>
  <si>
    <t>id</t>
  </si>
  <si>
    <t>BIGINT</t>
  </si>
  <si>
    <t>Y</t>
  </si>
  <si>
    <t>N</t>
  </si>
  <si>
    <t>AUTO</t>
  </si>
  <si>
    <t>ユーザーID</t>
  </si>
  <si>
    <t>email</t>
  </si>
  <si>
    <t>VARCHAR(255)</t>
  </si>
  <si>
    <t>メールアドレス</t>
  </si>
  <si>
    <t>display_name</t>
  </si>
  <si>
    <t>VARCHAR(100)</t>
  </si>
  <si>
    <t>表示名</t>
  </si>
  <si>
    <t>role</t>
  </si>
  <si>
    <t>VARCHAR(20)</t>
  </si>
  <si>
    <t>viewer</t>
  </si>
  <si>
    <t>権限区分</t>
  </si>
  <si>
    <t>公開 API 一覧</t>
  </si>
  <si>
    <t>エンドポイント</t>
  </si>
  <si>
    <t>メソッド</t>
  </si>
  <si>
    <t>レスポンス</t>
  </si>
  <si>
    <t>/api/auth/login</t>
  </si>
  <si>
    <t>POST</t>
  </si>
  <si>
    <t>不要</t>
  </si>
  <si>
    <t>200 OK</t>
  </si>
  <si>
    <t>/api/users</t>
  </si>
  <si>
    <t>GET</t>
  </si>
  <si>
    <t>ユーザー一覧</t>
  </si>
  <si>
    <t>必須</t>
  </si>
  <si>
    <t>/api/users/{id}</t>
  </si>
  <si>
    <t>PUT</t>
  </si>
  <si>
    <t>ユーザー更新</t>
  </si>
  <si>
    <t>/api/reports/export</t>
  </si>
  <si>
    <t>CSV出力</t>
  </si>
  <si>
    <t>202 Accepted</t>
  </si>
  <si>
    <t>ログイン画面</t>
  </si>
  <si>
    <t>項目</t>
  </si>
  <si>
    <t>種別</t>
  </si>
  <si>
    <t>text</t>
  </si>
  <si>
    <t>最大255文字</t>
  </si>
  <si>
    <t>パスワード</t>
  </si>
  <si>
    <t>password</t>
  </si>
  <si>
    <t>8文字以上</t>
  </si>
  <si>
    <t>ログインボタン</t>
  </si>
  <si>
    <t>button</t>
  </si>
  <si>
    <t>-</t>
  </si>
  <si>
    <t>Enterキー対応</t>
  </si>
  <si>
    <t>エラーメッセージ</t>
  </si>
  <si>
    <t>label</t>
  </si>
  <si>
    <t>赤字表示</t>
  </si>
  <si>
    <t>excel_parser.py 詳細設計</t>
  </si>
  <si>
    <t>ファイル</t>
  </si>
  <si>
    <t>app\services\excel_parser.py</t>
  </si>
  <si>
    <t>クラス</t>
  </si>
  <si>
    <t>JapaneseExcelParser</t>
  </si>
  <si>
    <t>既定しきい値</t>
  </si>
  <si>
    <t>row density が 0.5 未満なら KV、以上なら Table</t>
  </si>
  <si>
    <t>入出力マトリクス</t>
  </si>
  <si>
    <t>区分</t>
  </si>
  <si>
    <t>名称</t>
  </si>
  <si>
    <t>生成元</t>
  </si>
  <si>
    <t>消費先</t>
  </si>
  <si>
    <t>意味</t>
  </si>
  <si>
    <t>入力</t>
  </si>
  <si>
    <t>file_path</t>
  </si>
  <si>
    <t>str</t>
  </si>
  <si>
    <t>DocumentLoader</t>
  </si>
  <si>
    <t>parse</t>
  </si>
  <si>
    <t>元 Excel パス</t>
  </si>
  <si>
    <t>中間</t>
  </si>
  <si>
    <t>wb_cached</t>
  </si>
  <si>
    <t>Workbook</t>
  </si>
  <si>
    <t>openpyxl</t>
  </si>
  <si>
    <t>data_only=True</t>
  </si>
  <si>
    <t>wb_formula</t>
  </si>
  <si>
    <t>数式文字列側</t>
  </si>
  <si>
    <t>grid</t>
  </si>
  <si>
    <t>list[list[str]]</t>
  </si>
  <si>
    <t>_build_grid...</t>
  </si>
  <si>
    <t>_heuristic_scan</t>
  </si>
  <si>
    <t>結合セル展開済み</t>
  </si>
  <si>
    <t>出力</t>
  </si>
  <si>
    <t>ParseResult.text</t>
  </si>
  <si>
    <t>呼出元</t>
  </si>
  <si>
    <t>Markdown 本文</t>
  </si>
  <si>
    <t>ParseResult.chunks</t>
  </si>
  <si>
    <t>list[ChunkMeta]</t>
  </si>
  <si>
    <t>検索用メタ</t>
  </si>
  <si>
    <t>ParseResult.warnings</t>
  </si>
  <si>
    <t>list[str]</t>
  </si>
  <si>
    <t>warning 集約</t>
  </si>
  <si>
    <t>補助</t>
  </si>
  <si>
    <t>ParserWarning</t>
  </si>
  <si>
    <t>Enum</t>
  </si>
  <si>
    <t>parse_result.py</t>
  </si>
  <si>
    <t>warning 種別定義</t>
  </si>
  <si>
    <t>メソッド一覧</t>
  </si>
  <si>
    <t>No</t>
  </si>
  <si>
    <t>行番号</t>
  </si>
  <si>
    <t>返却型</t>
  </si>
  <si>
    <t>doc summary</t>
  </si>
  <si>
    <t>__init__</t>
  </si>
  <si>
    <t>density_threshold: 行密度の閾値。</t>
  </si>
  <si>
    <t>tuple[str, list[ChunkMeta]]</t>
  </si>
  <si>
    <t>行ごとにデータ密度を計算し、KV(疎)/ Table(密)を動的に切り替え。</t>
  </si>
  <si>
    <t>can_handle</t>
  </si>
  <si>
    <t>bool</t>
  </si>
  <si>
    <t>拡張子で判定: .xlsx, .xlsm</t>
  </si>
  <si>
    <t>_calc_effective_cols</t>
  </si>
  <si>
    <t>int</t>
  </si>
  <si>
    <t>末尾の完全空列を除外して有効列数を返す。</t>
  </si>
  <si>
    <t>ParseResult</t>
  </si>
  <si>
    <t>メインエントリーポイント。</t>
  </si>
  <si>
    <t>_flush_table</t>
  </si>
  <si>
    <t>tuple[str, ChunkMeta]</t>
  </si>
  <si>
    <t>バッファされたテーブル行を Markdown テーブルとして出力。</t>
  </si>
  <si>
    <t>_build_grid_with_merged_cells</t>
  </si>
  <si>
    <t>ワークシートの全セルを2Dリスト(grid)に読み込む。</t>
  </si>
  <si>
    <t>_render_kv_row</t>
  </si>
  <si>
    <t>疎な行を **Key:** Value 形式に変換。</t>
  </si>
  <si>
    <t>_read_cell_value</t>
  </si>
  <si>
    <t>セル値の二重読み取り。</t>
  </si>
  <si>
    <t>_extract_shapes_and_comments</t>
  </si>
  <si>
    <t>シート内のコメントを抽出。</t>
  </si>
  <si>
    <t>JapaneseExcelParser メソッド詳細マトリクス</t>
  </si>
  <si>
    <t>工程</t>
  </si>
  <si>
    <t>メソッド名</t>
  </si>
  <si>
    <t>公開区分</t>
  </si>
  <si>
    <t>ソース行</t>
  </si>
  <si>
    <t>役割</t>
  </si>
  <si>
    <t>引数No</t>
  </si>
  <si>
    <t>引数名</t>
  </si>
  <si>
    <t>既定値</t>
  </si>
  <si>
    <t>引数の意味</t>
  </si>
  <si>
    <t>返却値の意味</t>
  </si>
  <si>
    <t>内部呼出</t>
  </si>
  <si>
    <t>warning / event</t>
  </si>
  <si>
    <t>設計メモ</t>
  </si>
  <si>
    <t>初期化</t>
  </si>
  <si>
    <t>public</t>
  </si>
  <si>
    <t>行密度しきい値を保持する。</t>
  </si>
  <si>
    <t>density_threshold</t>
  </si>
  <si>
    <t>float</t>
  </si>
  <si>
    <t>0.5</t>
  </si>
  <si>
    <t>非空セル密度の境界値。0.5 未満を KV、以上を Table とみなす。</t>
  </si>
  <si>
    <t>インスタンス状態を初期化する。</t>
  </si>
  <si>
    <t>DocumentLoader / 直接生成 / テスト</t>
  </si>
  <si>
    <t>なし</t>
  </si>
  <si>
    <t>density_threshold は _heuristic_scan の KV / Table 分岐に使用する。</t>
  </si>
  <si>
    <t>入口判定</t>
  </si>
  <si>
    <t>拡張子ベースで処理対象可否を返す。</t>
  </si>
  <si>
    <t>判定対象ファイルのパス。</t>
  </si>
  <si>
    <t>.xlsx / .xlsm を True として返す。</t>
  </si>
  <si>
    <t>DocumentLoader.load</t>
  </si>
  <si>
    <t>Path.suffix.lower</t>
  </si>
  <si>
    <t>内容解析は行わず、軽量に振り分ける。</t>
  </si>
  <si>
    <t>メイン処理</t>
  </si>
  <si>
    <t>Workbook 二重読込、Sheet 走査、Markdown / Chunk / Warning 集約を行う。</t>
  </si>
  <si>
    <t>解析対象 Excel ファイルのパス。</t>
  </si>
  <si>
    <t>ParseResult(text, chunks, warnings) を返す。</t>
  </si>
  <si>
    <t>DocumentLoader.load / 直接呼出し</t>
  </si>
  <si>
    <t>_build_grid_with_merged_cells / _heuristic_scan / _extract_shapes_and_comments / openpyxl.load_workbook</t>
  </si>
  <si>
    <t>HIDDEN_SHEET_SKIPPED と下位 warning を集約する。</t>
  </si>
  <si>
    <t>data_only=True と False を併用して数式キャッシュと原式の両方を扱う。</t>
  </si>
  <si>
    <t>セル正規化</t>
  </si>
  <si>
    <t>private</t>
  </si>
  <si>
    <t>Worksheet 全体を文字列 2D grid に変換し、結合セルをブロードキャストする。</t>
  </si>
  <si>
    <t>ws_cached</t>
  </si>
  <si>
    <t>Worksheet</t>
  </si>
  <si>
    <t>data_only=True 側の Worksheet。</t>
  </si>
  <si>
    <t>結合セル展開済みの 2D grid を返す。</t>
  </si>
  <si>
    <t>MERGED_CELL_BROADCAST を範囲単位で追加する。</t>
  </si>
  <si>
    <t>openpyxl は 1-based、grid は 0-based の差を吸収する。</t>
  </si>
  <si>
    <t>ws_formula</t>
  </si>
  <si>
    <t>data_only=False 側の Worksheet。</t>
  </si>
  <si>
    <t>warnings</t>
  </si>
  <si>
    <t>warning 集約先リスト。</t>
  </si>
  <si>
    <t>キャッシュ値・数式・空セルを三分岐で文字列化する。</t>
  </si>
  <si>
    <t>cached_cell</t>
  </si>
  <si>
    <t>Cell</t>
  </si>
  <si>
    <t>計算済み値の取得元。</t>
  </si>
  <si>
    <t>Markdown 化に使う正規化済みセル文字列を返す。</t>
  </si>
  <si>
    <t>str / startswith</t>
  </si>
  <si>
    <t>FORMULA_NO_CACHE を必要時のみ追加する。</t>
  </si>
  <si>
    <t>キャッシュが無く数式だけある場合は `formula: ...` 形式で保持する。</t>
  </si>
  <si>
    <t>formula_cell</t>
  </si>
  <si>
    <t>原数式の取得元。</t>
  </si>
  <si>
    <t>数式 warning の追加先。</t>
  </si>
  <si>
    <t>ヒューリスティック</t>
  </si>
  <si>
    <t>行密度で KV / Table を切り替え、Markdown と Chunk を同時生成する。</t>
  </si>
  <si>
    <t>結合セル展開済みの 2D 文字列グリッド。</t>
  </si>
  <si>
    <t>Sheet 単位の Markdown 片と Chunk 一覧を返す。</t>
  </si>
  <si>
    <t>_calc_effective_cols / _flush_table / _render_kv_row / ChunkMeta</t>
  </si>
  <si>
    <t>warning は追加しないが chunk 種別を出し分ける。</t>
  </si>
  <si>
    <t>空行に遭遇した時点で table buffer を flush する。</t>
  </si>
  <si>
    <t>ChunkMeta.source_file 用パス。</t>
  </si>
  <si>
    <t>sheet_name</t>
  </si>
  <si>
    <t>ChunkMeta.sheet_name 用。</t>
  </si>
  <si>
    <t>ヒューリスティック補助</t>
  </si>
  <si>
    <t>末尾空列を削って実列数を返す。</t>
  </si>
  <si>
    <t>Sheet 全体の 2D grid。</t>
  </si>
  <si>
    <t>密度計算に使う有効列数を返す。</t>
  </si>
  <si>
    <t>any</t>
  </si>
  <si>
    <t>日本式シートの右側余白列を無視する。</t>
  </si>
  <si>
    <t>テーブル出力</t>
  </si>
  <si>
    <t>table buffer を Markdown テーブルと Table Chunk に変換する。</t>
  </si>
  <si>
    <t>buffer</t>
  </si>
  <si>
    <t>連続した高密度行のバッファ。</t>
  </si>
  <si>
    <t>Markdown テーブルと ChunkMeta のペアを返す。</t>
  </si>
  <si>
    <t>MarkdownEscaper.make_table / get_column_letter / ChunkMeta</t>
  </si>
  <si>
    <t>先頭行をヘッダとして扱う前提。</t>
  </si>
  <si>
    <t>start_row</t>
  </si>
  <si>
    <t>buffer 開始行の 0-based index。</t>
  </si>
  <si>
    <t>end_row</t>
  </si>
  <si>
    <t>buffer 終了行の 0-based index。</t>
  </si>
  <si>
    <t>ChunkMeta.source_file に設定する値。</t>
  </si>
  <si>
    <t>ChunkMeta.sheet_name に設定する値。</t>
  </si>
  <si>
    <t>effective_cols</t>
  </si>
  <si>
    <t>右端空列除去後の列数。</t>
  </si>
  <si>
    <t>KV出力</t>
  </si>
  <si>
    <t>疎な行を **Key:** Value 形式の Markdown に変換する。</t>
  </si>
  <si>
    <t>row</t>
  </si>
  <si>
    <t>1 行分の文字列配列。</t>
  </si>
  <si>
    <t>1 行分の KV Markdown を返す。</t>
  </si>
  <si>
    <t>MarkdownEscaper.escape_cell</t>
  </si>
  <si>
    <t>奇数個の末尾セルは単独テキストとして扱う。</t>
  </si>
  <si>
    <t>注記抽出</t>
  </si>
  <si>
    <t>Comment を Markdown 箇条書きに変換する。</t>
  </si>
  <si>
    <t>ws</t>
  </si>
  <si>
    <t>コメント走査対象 Worksheet。</t>
  </si>
  <si>
    <t>Comment セクション Markdown。無ければ空文字。</t>
  </si>
  <si>
    <t>Worksheet.iter_rows / MarkdownEscaper.escape_cell / get_column_letter</t>
  </si>
  <si>
    <t>現状 warning 追加は無し。</t>
  </si>
  <si>
    <t>TextBox は未対応、Comment 抽出が主対象。</t>
  </si>
  <si>
    <t>parse() 処理シーケンス / スイムレーン</t>
  </si>
  <si>
    <t>Step</t>
  </si>
  <si>
    <t>_build_grid</t>
  </si>
  <si>
    <t>_extract_shapes</t>
  </si>
  <si>
    <t>1</t>
  </si>
  <si>
    <t>ファイル存在確認</t>
  </si>
  <si>
    <t>2</t>
  </si>
  <si>
    <t>Workbook を data_only / formula で二重ロード</t>
  </si>
  <si>
    <t>3</t>
  </si>
  <si>
    <t>visible sheet のみ継続</t>
  </si>
  <si>
    <t>HIDDEN_SHEET_SKIPPED</t>
  </si>
  <si>
    <t>4</t>
  </si>
  <si>
    <t>sheet 見出し追加</t>
  </si>
  <si>
    <t>grid 初期化</t>
  </si>
  <si>
    <t>セル値正規化</t>
  </si>
  <si>
    <t>5</t>
  </si>
  <si>
    <t>通常セル読込</t>
  </si>
  <si>
    <t>cached / formula / empty を判定</t>
  </si>
  <si>
    <t>6</t>
  </si>
  <si>
    <t>merged range 展開</t>
  </si>
  <si>
    <t>MERGED_CELL_BROADCAST</t>
  </si>
  <si>
    <t>7</t>
  </si>
  <si>
    <t>effective_cols 算出</t>
  </si>
  <si>
    <t>8</t>
  </si>
  <si>
    <t>行密度算出</t>
  </si>
  <si>
    <t>9</t>
  </si>
  <si>
    <t>疎な行</t>
  </si>
  <si>
    <t>KV Markdown 生成</t>
  </si>
  <si>
    <t>KEY_VALUE chunk</t>
  </si>
  <si>
    <t>10</t>
  </si>
  <si>
    <t>密な行</t>
  </si>
  <si>
    <t>table buffer flush</t>
  </si>
  <si>
    <t>TABLE chunk</t>
  </si>
  <si>
    <t>11</t>
  </si>
  <si>
    <t>comment 抽出</t>
  </si>
  <si>
    <t>comment markdown</t>
  </si>
  <si>
    <t>12</t>
  </si>
  <si>
    <t>ParseResult 組立</t>
  </si>
  <si>
    <t>text/chunks/warnings</t>
  </si>
  <si>
    <t>ヒューリスティック判定・結合セル・数式フォールバック設計</t>
  </si>
  <si>
    <t>密度判定マトリクス</t>
  </si>
  <si>
    <t>しきい値</t>
  </si>
  <si>
    <t>Case</t>
  </si>
  <si>
    <t>非空セル数</t>
  </si>
  <si>
    <t>有効列数</t>
  </si>
  <si>
    <t>密度</t>
  </si>
  <si>
    <t>分類</t>
  </si>
  <si>
    <t>R-01</t>
  </si>
  <si>
    <t>典型的な作成者 / 日付 / 版数</t>
  </si>
  <si>
    <t>R-02</t>
  </si>
  <si>
    <t>境界未満だが情報量は中程度</t>
  </si>
  <si>
    <t>R-03</t>
  </si>
  <si>
    <t>0.625 なので TABLE</t>
  </si>
  <si>
    <t>R-04</t>
  </si>
  <si>
    <t>フル表データ</t>
  </si>
  <si>
    <t>数式キャッシュ読取ルール</t>
  </si>
  <si>
    <t>cached_value</t>
  </si>
  <si>
    <t>formula_value</t>
  </si>
  <si>
    <t>warning</t>
  </si>
  <si>
    <t>返却値</t>
  </si>
  <si>
    <t>設計意図</t>
  </si>
  <si>
    <t>F-01</t>
  </si>
  <si>
    <t>100</t>
  </si>
  <si>
    <t>キャッシュがあれば最優先</t>
  </si>
  <si>
    <t>F-02</t>
  </si>
  <si>
    <t>FORMULA_NO_CACHE</t>
  </si>
  <si>
    <t>formula: =SUM(A1:A5)</t>
  </si>
  <si>
    <t>計算値が無い場合でも意味を保持</t>
  </si>
  <si>
    <t>F-03</t>
  </si>
  <si>
    <t>完全空セル</t>
  </si>
  <si>
    <t>結合セルブロードキャスト イメージ</t>
  </si>
  <si>
    <t>元の左上値</t>
  </si>
  <si>
    <t>設計上は merged_range 全域へ同一値を複製する</t>
  </si>
  <si>
    <t>warning には MERGED_CELL_BROADCAST を範囲ごとに追加</t>
  </si>
  <si>
    <t>warning / exception 一覧</t>
  </si>
  <si>
    <t>ParserWarning 一覧</t>
  </si>
  <si>
    <t>enum 名</t>
  </si>
  <si>
    <t>メッセージ</t>
  </si>
  <si>
    <t>主な発生箇所</t>
  </si>
  <si>
    <t>契機</t>
  </si>
  <si>
    <t>ユーザー影響</t>
  </si>
  <si>
    <t>関連メソッド</t>
  </si>
  <si>
    <t>数式のキャッシュ値がありません。元の数式を保持します</t>
  </si>
  <si>
    <t>数式キャッシュ欠落</t>
  </si>
  <si>
    <t>数式テキストにフォールバック</t>
  </si>
  <si>
    <t>数式意味は保持</t>
  </si>
  <si>
    <t>SHAPE_SKIPPED</t>
  </si>
  <si>
    <t>図形オブジェクトの完全な抽出はサポートされていません</t>
  </si>
  <si>
    <t>未使用</t>
  </si>
  <si>
    <t>図形抽出未対応</t>
  </si>
  <si>
    <t>Shape は完全抽出不可</t>
  </si>
  <si>
    <t>将来拡張想定</t>
  </si>
  <si>
    <t>結合セルの値をブロードキャスト展開しました</t>
  </si>
  <si>
    <t>結合セル展開</t>
  </si>
  <si>
    <t>同じ値が全セルへ複製される</t>
  </si>
  <si>
    <t>LLM 文脈保持優先</t>
  </si>
  <si>
    <t>非表示シートをスキップしました</t>
  </si>
  <si>
    <t>非表示シート</t>
  </si>
  <si>
    <t>シート本文を出力しない</t>
  </si>
  <si>
    <t>warning で痕跡は残す</t>
  </si>
  <si>
    <t>SCAN_PAGE_DETECTED</t>
  </si>
  <si>
    <t>スキャンページが検出されました。OCRが必要な可能性があります</t>
  </si>
  <si>
    <t>OCR 対象検知</t>
  </si>
  <si>
    <t>現 parser では未使用</t>
  </si>
  <si>
    <t>共通 warning 候補</t>
  </si>
  <si>
    <t>PARSER_FALLBACK</t>
  </si>
  <si>
    <t>プライマリパーサーが失敗し、フォールバックを使用しました</t>
  </si>
  <si>
    <t>上位 loader</t>
  </si>
  <si>
    <t>primary fail</t>
  </si>
  <si>
    <t>fallback parser 利用</t>
  </si>
  <si>
    <t>DocumentLoader 文脈</t>
  </si>
  <si>
    <t>ParseError シナリオ</t>
  </si>
  <si>
    <t>例外</t>
  </si>
  <si>
    <t>発生条件</t>
  </si>
  <si>
    <t>発生箇所</t>
  </si>
  <si>
    <t>メッセージ例</t>
  </si>
  <si>
    <t>復旧案</t>
  </si>
  <si>
    <t>ParseError</t>
  </si>
  <si>
    <t>file_path が存在しない</t>
  </si>
  <si>
    <t>ファイルが見つかりません</t>
  </si>
  <si>
    <t>パス確認</t>
  </si>
  <si>
    <t>入口で fail-fast</t>
  </si>
  <si>
    <t>Workbook 読込失敗</t>
  </si>
  <si>
    <t>Excel ファイルの読込に失敗</t>
  </si>
  <si>
    <t>実体 / 形式確認</t>
  </si>
  <si>
    <t>openpyxl 例外を内包</t>
  </si>
  <si>
    <t>excel_parser.py テスト観点一覧</t>
  </si>
  <si>
    <t>観点ID</t>
  </si>
  <si>
    <t>入力パターン</t>
  </si>
  <si>
    <t>対象メソッド</t>
  </si>
  <si>
    <t>期待 Markdown</t>
  </si>
  <si>
    <t>期待 Chunk</t>
  </si>
  <si>
    <t>期待 warning</t>
  </si>
  <si>
    <t>難易度</t>
  </si>
  <si>
    <t>再現シート</t>
  </si>
  <si>
    <t>T-001</t>
  </si>
  <si>
    <t>通常表</t>
  </si>
  <si>
    <t>parse / _heuristic_scan / _flush_table</t>
  </si>
  <si>
    <t>Markdown Table</t>
  </si>
  <si>
    <t>TABLE</t>
  </si>
  <si>
    <t>最頻ケース</t>
  </si>
  <si>
    <t>基本設計</t>
  </si>
  <si>
    <t>T-002</t>
  </si>
  <si>
    <t>疎な KV 行</t>
  </si>
  <si>
    <t>_heuristic_scan / _render_kv_row</t>
  </si>
  <si>
    <t>**Key:** Value</t>
  </si>
  <si>
    <t>KEY_VALUE</t>
  </si>
  <si>
    <t>版数 / 作成者</t>
  </si>
  <si>
    <t>T-003</t>
  </si>
  <si>
    <t>結合セル</t>
  </si>
  <si>
    <t>値が全域へ複製</t>
  </si>
  <si>
    <t>TABLE または TEXT</t>
  </si>
  <si>
    <t>神 Excel の本丸</t>
  </si>
  <si>
    <t>判定ロジック</t>
  </si>
  <si>
    <t>T-004</t>
  </si>
  <si>
    <t>キャッシュ無し数式</t>
  </si>
  <si>
    <t>formula: =...</t>
  </si>
  <si>
    <t>Excel 保存状態依存</t>
  </si>
  <si>
    <t>計算用_非表示</t>
  </si>
  <si>
    <t>T-005</t>
  </si>
  <si>
    <t>本文対象外</t>
  </si>
  <si>
    <t>warning 集約確認</t>
  </si>
  <si>
    <t>T-006</t>
  </si>
  <si>
    <t>コメントあり</t>
  </si>
  <si>
    <t>### コメント注記</t>
  </si>
  <si>
    <t>TextBox は未対応</t>
  </si>
  <si>
    <t>画面設計</t>
  </si>
  <si>
    <t>T-007</t>
  </si>
  <si>
    <t>パイプ / 改行 / 全角空白</t>
  </si>
  <si>
    <t>MarkdownEscaper 関連</t>
  </si>
  <si>
    <t>エスケープ済み文字列</t>
  </si>
  <si>
    <t>TABLE / KV</t>
  </si>
  <si>
    <t>LLM 入力安全化</t>
  </si>
  <si>
    <t>値</t>
  </si>
  <si>
    <t>原価</t>
  </si>
  <si>
    <t>利益率</t>
  </si>
  <si>
    <t>販売価格</t>
  </si>
  <si>
    <t>Metric</t>
  </si>
  <si>
    <t>Value</t>
  </si>
  <si>
    <t>Method Count</t>
  </si>
  <si>
    <t>Public Method Count</t>
  </si>
  <si>
    <t>Private Helper Count</t>
  </si>
  <si>
    <t>Warning Type Count</t>
  </si>
  <si>
    <t>Default Density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</si>
</sst>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4"/>
      <color rgb="FFFFFFFF"/>
      <name val="Meiryo"/>
    </font>
    <font>
      <b/>
      <sz val="12"/>
      <name val="Meiryo"/>
    </font>
    <font>
      <b/>
      <sz val="10"/>
      <color rgb="FFFFFFFF"/>
      <name val="Meiryo"/>
    </font>
    <font>
      <sz val="10"/>
      <name val="Meiryo"/>
    </font>
    <font>
      <b/>
      <sz val="10"/>
      <name val="Meiryo"/>
    </font>
    <font>
      <b/>
      <sz val="11"/>
      <name val="Meiryo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4F8FC"/>
      </patternFill>
    </fill>
    <fill>
      <patternFill patternType="solid">
        <fgColor rgb="FFF8FBFF"/>
      </patternFill>
    </fill>
    <fill>
      <patternFill patternType="solid">
        <fgColor rgb="FFEDEDE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5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130" zoomScaleNormal="130" workbookViewId="0">
      <selection sqref="A1:H1"/>
    </sheetView>
  </sheetViews>
  <sheetFormatPr defaultRowHeight="14.4" x14ac:dyDescent="0.25"/>
  <cols>
    <col min="1" max="1" width="12" customWidth="1"/>
    <col min="2" max="2" width="20" customWidth="1"/>
    <col min="3" max="3" width="12" customWidth="1"/>
    <col min="4" max="7" width="10" customWidth="1"/>
    <col min="8" max="8" width="24" customWidth="1"/>
  </cols>
  <sheetData>
    <row r="1" spans="1:8" ht="28.05" customHeight="1" x14ac:dyDescent="0.25">
      <c r="A1" s="13" t="s">
        <v>0</v>
      </c>
      <c r="B1" s="12"/>
      <c r="C1" s="12"/>
      <c r="D1" s="12"/>
      <c r="E1" s="12"/>
      <c r="F1" s="12"/>
      <c r="G1" s="12"/>
      <c r="H1" s="12"/>
    </row>
    <row r="2" spans="1:8" x14ac:dyDescent="0.25">
      <c r="A2" t="s">
        <v>1</v>
      </c>
      <c r="B2" t="s">
        <v>2</v>
      </c>
      <c r="E2" t="s">
        <v>3</v>
      </c>
      <c r="F2" t="s">
        <v>4</v>
      </c>
    </row>
    <row r="3" spans="1:8" x14ac:dyDescent="0.25">
      <c r="A3" t="s">
        <v>5</v>
      </c>
      <c r="B3" t="s">
        <v>6</v>
      </c>
      <c r="E3" t="s">
        <v>7</v>
      </c>
      <c r="F3" t="s">
        <v>8</v>
      </c>
    </row>
    <row r="4" spans="1:8" x14ac:dyDescent="0.25">
      <c r="A4" t="s">
        <v>9</v>
      </c>
      <c r="B4" t="s">
        <v>10</v>
      </c>
      <c r="E4" t="s">
        <v>11</v>
      </c>
      <c r="F4" t="s">
        <v>12</v>
      </c>
    </row>
    <row r="5" spans="1:8" x14ac:dyDescent="0.25">
      <c r="A5" t="s">
        <v>13</v>
      </c>
      <c r="B5" t="s">
        <v>14</v>
      </c>
      <c r="E5" t="s">
        <v>15</v>
      </c>
      <c r="F5" t="s">
        <v>16</v>
      </c>
    </row>
    <row r="7" spans="1:8" ht="19.2" x14ac:dyDescent="0.55000000000000004">
      <c r="A7" s="11" t="s">
        <v>17</v>
      </c>
      <c r="B7" s="12"/>
      <c r="C7" s="12"/>
      <c r="D7" s="12"/>
      <c r="E7" s="12"/>
      <c r="F7" s="12"/>
      <c r="G7" s="12"/>
      <c r="H7" s="12"/>
    </row>
    <row r="8" spans="1:8" ht="36" customHeight="1" x14ac:dyDescent="0.25">
      <c r="A8" s="14" t="s">
        <v>18</v>
      </c>
      <c r="B8" s="12"/>
      <c r="C8" s="12"/>
      <c r="D8" s="12"/>
      <c r="E8" s="12"/>
      <c r="F8" s="12"/>
      <c r="G8" s="12"/>
      <c r="H8" s="12"/>
    </row>
    <row r="10" spans="1:8" ht="19.2" x14ac:dyDescent="0.55000000000000004">
      <c r="A10" s="11" t="s">
        <v>19</v>
      </c>
      <c r="B10" s="12"/>
      <c r="C10" s="12"/>
      <c r="D10" s="12"/>
      <c r="E10" s="12"/>
      <c r="F10" s="12"/>
      <c r="G10" s="12"/>
      <c r="H10" s="12"/>
    </row>
    <row r="11" spans="1:8" ht="16.2" x14ac:dyDescent="0.25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</row>
    <row r="12" spans="1:8" ht="16.2" x14ac:dyDescent="0.25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32</v>
      </c>
      <c r="F12" s="2">
        <v>3</v>
      </c>
      <c r="G12" s="2">
        <v>100</v>
      </c>
      <c r="H12" s="2" t="s">
        <v>33</v>
      </c>
    </row>
    <row r="13" spans="1:8" ht="16.2" x14ac:dyDescent="0.25">
      <c r="A13" s="2" t="s">
        <v>34</v>
      </c>
      <c r="B13" s="2" t="s">
        <v>35</v>
      </c>
      <c r="C13" s="2" t="s">
        <v>30</v>
      </c>
      <c r="D13" s="2" t="s">
        <v>31</v>
      </c>
      <c r="E13" s="2" t="s">
        <v>36</v>
      </c>
      <c r="F13" s="2">
        <v>4</v>
      </c>
      <c r="G13" s="2">
        <v>90</v>
      </c>
      <c r="H13" s="2" t="s">
        <v>37</v>
      </c>
    </row>
    <row r="14" spans="1:8" ht="16.2" x14ac:dyDescent="0.25">
      <c r="A14" s="2" t="s">
        <v>38</v>
      </c>
      <c r="B14" s="2" t="s">
        <v>39</v>
      </c>
      <c r="C14" s="2" t="s">
        <v>40</v>
      </c>
      <c r="D14" s="2" t="s">
        <v>31</v>
      </c>
      <c r="E14" s="2" t="s">
        <v>41</v>
      </c>
      <c r="F14" s="2">
        <v>5</v>
      </c>
      <c r="G14" s="2">
        <v>80</v>
      </c>
      <c r="H14" s="2" t="s">
        <v>42</v>
      </c>
    </row>
    <row r="15" spans="1:8" ht="16.2" x14ac:dyDescent="0.25">
      <c r="A15" s="2" t="s">
        <v>43</v>
      </c>
      <c r="B15" s="2" t="s">
        <v>44</v>
      </c>
      <c r="C15" s="2" t="s">
        <v>40</v>
      </c>
      <c r="D15" s="2" t="s">
        <v>45</v>
      </c>
      <c r="E15" s="2" t="s">
        <v>41</v>
      </c>
      <c r="F15" s="2">
        <v>2</v>
      </c>
      <c r="G15" s="2">
        <v>75</v>
      </c>
      <c r="H15" s="2" t="s">
        <v>46</v>
      </c>
    </row>
    <row r="16" spans="1:8" ht="16.2" x14ac:dyDescent="0.25">
      <c r="A16" s="2" t="s">
        <v>47</v>
      </c>
      <c r="B16" s="2" t="s">
        <v>48</v>
      </c>
      <c r="C16" s="2" t="s">
        <v>49</v>
      </c>
      <c r="D16" s="2" t="s">
        <v>31</v>
      </c>
      <c r="E16" s="2" t="s">
        <v>50</v>
      </c>
      <c r="F16" s="2">
        <v>6</v>
      </c>
      <c r="G16" s="2">
        <v>60</v>
      </c>
      <c r="H16" s="2" t="s">
        <v>51</v>
      </c>
    </row>
    <row r="17" spans="1:8" ht="16.2" x14ac:dyDescent="0.25">
      <c r="A17" s="2" t="s">
        <v>52</v>
      </c>
      <c r="B17" s="2" t="s">
        <v>53</v>
      </c>
      <c r="C17" s="2" t="s">
        <v>54</v>
      </c>
      <c r="D17" s="2" t="s">
        <v>45</v>
      </c>
      <c r="E17" s="2" t="s">
        <v>55</v>
      </c>
      <c r="F17" s="2">
        <v>7</v>
      </c>
      <c r="G17" s="2">
        <v>40</v>
      </c>
      <c r="H17" s="2" t="s">
        <v>56</v>
      </c>
    </row>
    <row r="18" spans="1:8" ht="16.2" x14ac:dyDescent="0.25">
      <c r="A18" s="2" t="s">
        <v>57</v>
      </c>
      <c r="B18" s="2" t="s">
        <v>58</v>
      </c>
      <c r="C18" s="2" t="s">
        <v>59</v>
      </c>
      <c r="D18" s="2" t="s">
        <v>45</v>
      </c>
      <c r="E18" s="2" t="s">
        <v>60</v>
      </c>
      <c r="F18" s="2">
        <v>3</v>
      </c>
      <c r="G18" s="2">
        <v>50</v>
      </c>
      <c r="H18" s="2" t="s">
        <v>61</v>
      </c>
    </row>
    <row r="19" spans="1:8" ht="16.2" x14ac:dyDescent="0.25">
      <c r="A19" s="2" t="s">
        <v>62</v>
      </c>
      <c r="B19" s="2" t="s">
        <v>63</v>
      </c>
      <c r="C19" s="2" t="s">
        <v>64</v>
      </c>
      <c r="D19" s="2" t="s">
        <v>65</v>
      </c>
      <c r="E19" s="2" t="s">
        <v>66</v>
      </c>
      <c r="F19" s="2">
        <v>2</v>
      </c>
      <c r="G19" s="2">
        <v>20</v>
      </c>
      <c r="H19" s="2" t="s">
        <v>67</v>
      </c>
    </row>
    <row r="20" spans="1:8" ht="16.8" x14ac:dyDescent="0.45">
      <c r="E20" s="3" t="s">
        <v>68</v>
      </c>
      <c r="F20" s="3">
        <f>SUM(F12:F19)</f>
        <v>32</v>
      </c>
    </row>
    <row r="22" spans="1:8" ht="31.95" customHeight="1" x14ac:dyDescent="0.25">
      <c r="A22" s="14" t="s">
        <v>69</v>
      </c>
      <c r="B22" s="12"/>
      <c r="C22" s="12"/>
      <c r="D22" s="12"/>
      <c r="E22" s="12"/>
      <c r="F22" s="12"/>
      <c r="G22" s="12"/>
      <c r="H22" s="12"/>
    </row>
  </sheetData>
  <mergeCells count="5">
    <mergeCell ref="A7:H7"/>
    <mergeCell ref="A10:H10"/>
    <mergeCell ref="A1:H1"/>
    <mergeCell ref="A8:H8"/>
    <mergeCell ref="A22:H22"/>
  </mergeCells>
  <phoneticPr fontId="7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sqref="A1:F1"/>
    </sheetView>
  </sheetViews>
  <sheetFormatPr defaultRowHeight="14.4" x14ac:dyDescent="0.25"/>
  <cols>
    <col min="1" max="2" width="18" customWidth="1"/>
    <col min="3" max="4" width="8" customWidth="1"/>
    <col min="5" max="5" width="14" customWidth="1"/>
    <col min="6" max="6" width="24" customWidth="1"/>
  </cols>
  <sheetData>
    <row r="1" spans="1:6" ht="19.2" x14ac:dyDescent="0.55000000000000004">
      <c r="A1" s="11" t="s">
        <v>70</v>
      </c>
      <c r="B1" s="12"/>
      <c r="C1" s="12"/>
      <c r="D1" s="12"/>
      <c r="E1" s="12"/>
      <c r="F1" s="12"/>
    </row>
    <row r="3" spans="1:6" ht="16.2" x14ac:dyDescent="0.25">
      <c r="A3" s="1" t="s">
        <v>71</v>
      </c>
      <c r="B3" s="1" t="s">
        <v>72</v>
      </c>
      <c r="C3" s="1" t="s">
        <v>73</v>
      </c>
      <c r="D3" s="1" t="s">
        <v>74</v>
      </c>
      <c r="E3" s="1" t="s">
        <v>75</v>
      </c>
      <c r="F3" s="1" t="s">
        <v>76</v>
      </c>
    </row>
    <row r="4" spans="1:6" ht="16.2" x14ac:dyDescent="0.25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  <c r="F4" s="2" t="s">
        <v>82</v>
      </c>
    </row>
    <row r="5" spans="1:6" ht="16.2" x14ac:dyDescent="0.25">
      <c r="A5" s="2" t="s">
        <v>83</v>
      </c>
      <c r="B5" s="2" t="s">
        <v>84</v>
      </c>
      <c r="C5" s="2" t="s">
        <v>80</v>
      </c>
      <c r="D5" s="2" t="s">
        <v>80</v>
      </c>
      <c r="E5" s="2"/>
      <c r="F5" s="2" t="s">
        <v>85</v>
      </c>
    </row>
    <row r="6" spans="1:6" ht="16.2" x14ac:dyDescent="0.25">
      <c r="A6" s="2" t="s">
        <v>86</v>
      </c>
      <c r="B6" s="2" t="s">
        <v>87</v>
      </c>
      <c r="C6" s="2" t="s">
        <v>80</v>
      </c>
      <c r="D6" s="2" t="s">
        <v>80</v>
      </c>
      <c r="E6" s="2"/>
      <c r="F6" s="2" t="s">
        <v>88</v>
      </c>
    </row>
    <row r="7" spans="1:6" ht="16.2" x14ac:dyDescent="0.25">
      <c r="A7" s="2" t="s">
        <v>89</v>
      </c>
      <c r="B7" s="2" t="s">
        <v>90</v>
      </c>
      <c r="C7" s="2" t="s">
        <v>80</v>
      </c>
      <c r="D7" s="2" t="s">
        <v>80</v>
      </c>
      <c r="E7" s="2" t="s">
        <v>91</v>
      </c>
      <c r="F7" s="2" t="s">
        <v>92</v>
      </c>
    </row>
  </sheetData>
  <mergeCells count="1">
    <mergeCell ref="A1:F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sqref="A1:E1"/>
    </sheetView>
  </sheetViews>
  <sheetFormatPr defaultRowHeight="14.4" x14ac:dyDescent="0.25"/>
  <cols>
    <col min="1" max="1" width="26" customWidth="1"/>
    <col min="2" max="2" width="12" customWidth="1"/>
    <col min="3" max="3" width="20" customWidth="1"/>
    <col min="4" max="4" width="10" customWidth="1"/>
    <col min="5" max="5" width="18" customWidth="1"/>
  </cols>
  <sheetData>
    <row r="1" spans="1:5" ht="19.2" x14ac:dyDescent="0.55000000000000004">
      <c r="A1" s="11" t="s">
        <v>93</v>
      </c>
      <c r="B1" s="12"/>
      <c r="C1" s="12"/>
      <c r="D1" s="12"/>
      <c r="E1" s="12"/>
    </row>
    <row r="3" spans="1:5" ht="16.2" x14ac:dyDescent="0.25">
      <c r="A3" s="1" t="s">
        <v>94</v>
      </c>
      <c r="B3" s="1" t="s">
        <v>95</v>
      </c>
      <c r="C3" s="1" t="s">
        <v>76</v>
      </c>
      <c r="D3" s="1" t="s">
        <v>30</v>
      </c>
      <c r="E3" s="1" t="s">
        <v>96</v>
      </c>
    </row>
    <row r="4" spans="1:5" ht="16.2" x14ac:dyDescent="0.25">
      <c r="A4" s="2" t="s">
        <v>97</v>
      </c>
      <c r="B4" s="2" t="s">
        <v>98</v>
      </c>
      <c r="C4" s="2" t="s">
        <v>29</v>
      </c>
      <c r="D4" s="2" t="s">
        <v>99</v>
      </c>
      <c r="E4" s="2" t="s">
        <v>100</v>
      </c>
    </row>
    <row r="5" spans="1:5" ht="16.2" x14ac:dyDescent="0.25">
      <c r="A5" s="2" t="s">
        <v>101</v>
      </c>
      <c r="B5" s="2" t="s">
        <v>102</v>
      </c>
      <c r="C5" s="2" t="s">
        <v>103</v>
      </c>
      <c r="D5" s="2" t="s">
        <v>104</v>
      </c>
      <c r="E5" s="2" t="s">
        <v>100</v>
      </c>
    </row>
    <row r="6" spans="1:5" ht="16.2" x14ac:dyDescent="0.25">
      <c r="A6" s="2" t="s">
        <v>105</v>
      </c>
      <c r="B6" s="2" t="s">
        <v>106</v>
      </c>
      <c r="C6" s="2" t="s">
        <v>107</v>
      </c>
      <c r="D6" s="2" t="s">
        <v>104</v>
      </c>
      <c r="E6" s="2" t="s">
        <v>100</v>
      </c>
    </row>
    <row r="7" spans="1:5" ht="16.2" x14ac:dyDescent="0.25">
      <c r="A7" s="2" t="s">
        <v>108</v>
      </c>
      <c r="B7" s="2" t="s">
        <v>102</v>
      </c>
      <c r="C7" s="2" t="s">
        <v>109</v>
      </c>
      <c r="D7" s="2" t="s">
        <v>104</v>
      </c>
      <c r="E7" s="2" t="s">
        <v>110</v>
      </c>
    </row>
  </sheetData>
  <mergeCells count="1">
    <mergeCell ref="A1:E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sqref="A1:D1"/>
    </sheetView>
  </sheetViews>
  <sheetFormatPr defaultRowHeight="14.4" x14ac:dyDescent="0.25"/>
  <cols>
    <col min="1" max="1" width="18" customWidth="1"/>
    <col min="2" max="2" width="16" customWidth="1"/>
    <col min="3" max="3" width="10" customWidth="1"/>
    <col min="4" max="4" width="24" customWidth="1"/>
  </cols>
  <sheetData>
    <row r="1" spans="1:4" ht="19.2" x14ac:dyDescent="0.55000000000000004">
      <c r="A1" s="11" t="s">
        <v>111</v>
      </c>
      <c r="B1" s="12"/>
      <c r="C1" s="12"/>
      <c r="D1" s="12"/>
    </row>
    <row r="3" spans="1:4" ht="16.2" x14ac:dyDescent="0.25">
      <c r="A3" s="1" t="s">
        <v>112</v>
      </c>
      <c r="B3" s="1" t="s">
        <v>113</v>
      </c>
      <c r="C3" s="1" t="s">
        <v>104</v>
      </c>
      <c r="D3" s="1" t="s">
        <v>27</v>
      </c>
    </row>
    <row r="4" spans="1:4" ht="16.2" x14ac:dyDescent="0.25">
      <c r="A4" s="2" t="s">
        <v>85</v>
      </c>
      <c r="B4" s="2" t="s">
        <v>114</v>
      </c>
      <c r="C4" s="2" t="s">
        <v>79</v>
      </c>
      <c r="D4" s="2" t="s">
        <v>115</v>
      </c>
    </row>
    <row r="5" spans="1:4" ht="16.2" x14ac:dyDescent="0.25">
      <c r="A5" s="2" t="s">
        <v>116</v>
      </c>
      <c r="B5" s="2" t="s">
        <v>117</v>
      </c>
      <c r="C5" s="2" t="s">
        <v>79</v>
      </c>
      <c r="D5" s="2" t="s">
        <v>118</v>
      </c>
    </row>
    <row r="6" spans="1:4" ht="16.2" x14ac:dyDescent="0.25">
      <c r="A6" s="2" t="s">
        <v>119</v>
      </c>
      <c r="B6" s="2" t="s">
        <v>120</v>
      </c>
      <c r="C6" s="2" t="s">
        <v>121</v>
      </c>
      <c r="D6" s="2" t="s">
        <v>122</v>
      </c>
    </row>
    <row r="7" spans="1:4" ht="16.2" x14ac:dyDescent="0.25">
      <c r="A7" s="2" t="s">
        <v>123</v>
      </c>
      <c r="B7" s="2" t="s">
        <v>124</v>
      </c>
      <c r="C7" s="2" t="s">
        <v>121</v>
      </c>
      <c r="D7" s="2" t="s">
        <v>125</v>
      </c>
    </row>
  </sheetData>
  <mergeCells count="1">
    <mergeCell ref="A1:D1"/>
  </mergeCells>
  <phoneticPr fontId="7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zoomScaleNormal="100" workbookViewId="0">
      <pane ySplit="8" topLeftCell="A9" activePane="bottomLeft" state="frozen"/>
      <selection pane="bottomLeft" sqref="A1:L2"/>
    </sheetView>
  </sheetViews>
  <sheetFormatPr defaultRowHeight="14.4" x14ac:dyDescent="0.25"/>
  <cols>
    <col min="1" max="1" width="12" customWidth="1"/>
    <col min="2" max="2" width="24" customWidth="1"/>
    <col min="3" max="3" width="10" customWidth="1"/>
    <col min="4" max="4" width="24" customWidth="1"/>
    <col min="5" max="5" width="30" customWidth="1"/>
    <col min="6" max="6" width="12" customWidth="1"/>
    <col min="7" max="7" width="24" customWidth="1"/>
    <col min="8" max="8" width="10" customWidth="1"/>
    <col min="9" max="9" width="24" customWidth="1"/>
    <col min="10" max="10" width="30" customWidth="1"/>
    <col min="11" max="12" width="6" customWidth="1"/>
  </cols>
  <sheetData>
    <row r="1" spans="1:12" x14ac:dyDescent="0.25">
      <c r="A1" s="17" t="s">
        <v>126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x14ac:dyDescent="0.25">
      <c r="A4" s="15" t="s">
        <v>127</v>
      </c>
      <c r="B4" s="12"/>
      <c r="C4" s="12"/>
      <c r="D4" s="16" t="s">
        <v>128</v>
      </c>
      <c r="E4" s="12"/>
      <c r="F4" s="12"/>
      <c r="G4" s="12"/>
      <c r="H4" s="12"/>
      <c r="I4" s="12"/>
      <c r="J4" s="12"/>
      <c r="K4" s="12"/>
      <c r="L4" s="12"/>
    </row>
    <row r="5" spans="1:12" x14ac:dyDescent="0.25">
      <c r="A5" s="15" t="s">
        <v>129</v>
      </c>
      <c r="B5" s="12"/>
      <c r="C5" s="12"/>
      <c r="D5" s="16" t="s">
        <v>130</v>
      </c>
      <c r="E5" s="12"/>
      <c r="F5" s="12"/>
      <c r="G5" s="12"/>
      <c r="H5" s="12"/>
      <c r="I5" s="12"/>
      <c r="J5" s="12"/>
      <c r="K5" s="12"/>
      <c r="L5" s="12"/>
    </row>
    <row r="6" spans="1:12" ht="16.2" x14ac:dyDescent="0.25">
      <c r="A6" s="15" t="s">
        <v>131</v>
      </c>
      <c r="B6" s="12"/>
      <c r="C6" s="12"/>
      <c r="D6" s="4">
        <f>設計計算_非表示!B6</f>
        <v>0.5</v>
      </c>
      <c r="E6" s="16" t="s">
        <v>132</v>
      </c>
      <c r="F6" s="12"/>
      <c r="G6" s="12"/>
      <c r="H6" s="12"/>
      <c r="I6" s="12"/>
      <c r="J6" s="12"/>
      <c r="K6" s="12"/>
      <c r="L6" s="12"/>
    </row>
    <row r="8" spans="1:12" x14ac:dyDescent="0.25">
      <c r="A8" s="15" t="s">
        <v>133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ht="32.4" x14ac:dyDescent="0.25">
      <c r="A9" s="5" t="s">
        <v>134</v>
      </c>
      <c r="B9" s="5" t="s">
        <v>135</v>
      </c>
      <c r="C9" s="5" t="s">
        <v>72</v>
      </c>
      <c r="D9" s="5" t="s">
        <v>136</v>
      </c>
      <c r="E9" s="5" t="s">
        <v>137</v>
      </c>
      <c r="F9" s="5" t="s">
        <v>138</v>
      </c>
      <c r="G9" s="5" t="s">
        <v>134</v>
      </c>
      <c r="H9" s="5" t="s">
        <v>135</v>
      </c>
      <c r="I9" s="5" t="s">
        <v>72</v>
      </c>
      <c r="J9" s="5" t="s">
        <v>136</v>
      </c>
      <c r="K9" s="5" t="s">
        <v>137</v>
      </c>
      <c r="L9" s="5" t="s">
        <v>138</v>
      </c>
    </row>
    <row r="10" spans="1:12" ht="64.8" x14ac:dyDescent="0.25">
      <c r="A10" s="2" t="s">
        <v>139</v>
      </c>
      <c r="B10" s="2" t="s">
        <v>140</v>
      </c>
      <c r="C10" s="2" t="s">
        <v>141</v>
      </c>
      <c r="D10" s="2" t="s">
        <v>142</v>
      </c>
      <c r="E10" s="2" t="s">
        <v>143</v>
      </c>
      <c r="F10" s="2" t="s">
        <v>144</v>
      </c>
      <c r="G10" s="2" t="s">
        <v>145</v>
      </c>
      <c r="H10" s="2" t="s">
        <v>146</v>
      </c>
      <c r="I10" s="2" t="s">
        <v>147</v>
      </c>
      <c r="J10" s="2" t="s">
        <v>148</v>
      </c>
      <c r="K10" s="2" t="s">
        <v>143</v>
      </c>
      <c r="L10" s="2" t="s">
        <v>149</v>
      </c>
    </row>
    <row r="11" spans="1:12" ht="64.8" x14ac:dyDescent="0.25">
      <c r="A11" s="2" t="s">
        <v>145</v>
      </c>
      <c r="B11" s="2" t="s">
        <v>150</v>
      </c>
      <c r="C11" s="2" t="s">
        <v>147</v>
      </c>
      <c r="D11" s="2" t="s">
        <v>148</v>
      </c>
      <c r="E11" s="2" t="s">
        <v>143</v>
      </c>
      <c r="F11" s="2" t="s">
        <v>151</v>
      </c>
      <c r="G11" s="2" t="s">
        <v>145</v>
      </c>
      <c r="H11" s="2" t="s">
        <v>152</v>
      </c>
      <c r="I11" s="2" t="s">
        <v>153</v>
      </c>
      <c r="J11" s="2" t="s">
        <v>154</v>
      </c>
      <c r="K11" s="2" t="s">
        <v>155</v>
      </c>
      <c r="L11" s="2" t="s">
        <v>156</v>
      </c>
    </row>
    <row r="12" spans="1:12" ht="48.6" x14ac:dyDescent="0.25">
      <c r="A12" s="2" t="s">
        <v>157</v>
      </c>
      <c r="B12" s="2" t="s">
        <v>158</v>
      </c>
      <c r="C12" s="2" t="s">
        <v>141</v>
      </c>
      <c r="D12" s="2" t="s">
        <v>143</v>
      </c>
      <c r="E12" s="2" t="s">
        <v>159</v>
      </c>
      <c r="F12" s="2" t="s">
        <v>160</v>
      </c>
      <c r="G12" s="2" t="s">
        <v>157</v>
      </c>
      <c r="H12" s="2" t="s">
        <v>161</v>
      </c>
      <c r="I12" s="2" t="s">
        <v>162</v>
      </c>
      <c r="J12" s="2" t="s">
        <v>143</v>
      </c>
      <c r="K12" s="2" t="s">
        <v>159</v>
      </c>
      <c r="L12" s="2" t="s">
        <v>163</v>
      </c>
    </row>
    <row r="13" spans="1:12" ht="64.8" x14ac:dyDescent="0.25">
      <c r="A13" s="2" t="s">
        <v>157</v>
      </c>
      <c r="B13" s="2" t="s">
        <v>164</v>
      </c>
      <c r="C13" s="2" t="s">
        <v>165</v>
      </c>
      <c r="D13" s="2" t="s">
        <v>143</v>
      </c>
      <c r="E13" s="2" t="s">
        <v>159</v>
      </c>
      <c r="F13" s="2" t="s">
        <v>166</v>
      </c>
      <c r="G13" s="2" t="s">
        <v>167</v>
      </c>
      <c r="H13" s="2" t="s">
        <v>168</v>
      </c>
      <c r="I13" s="2" t="s">
        <v>169</v>
      </c>
      <c r="J13" s="2" t="s">
        <v>170</v>
      </c>
      <c r="K13" s="2" t="s">
        <v>143</v>
      </c>
      <c r="L13" s="2" t="s">
        <v>171</v>
      </c>
    </row>
    <row r="16" spans="1:12" x14ac:dyDescent="0.25">
      <c r="A16" s="15" t="s">
        <v>172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ht="16.2" x14ac:dyDescent="0.25">
      <c r="A17" s="5" t="s">
        <v>173</v>
      </c>
      <c r="B17" s="5" t="s">
        <v>95</v>
      </c>
      <c r="C17" s="5" t="s">
        <v>174</v>
      </c>
      <c r="D17" s="5" t="s">
        <v>175</v>
      </c>
      <c r="E17" s="5" t="s">
        <v>176</v>
      </c>
      <c r="F17" s="5" t="s">
        <v>173</v>
      </c>
      <c r="G17" s="5" t="s">
        <v>95</v>
      </c>
      <c r="H17" s="5" t="s">
        <v>174</v>
      </c>
      <c r="I17" s="5" t="s">
        <v>175</v>
      </c>
      <c r="J17" s="5" t="s">
        <v>176</v>
      </c>
      <c r="K17" s="5"/>
      <c r="L17" s="5"/>
    </row>
    <row r="18" spans="1:12" ht="48.6" x14ac:dyDescent="0.25">
      <c r="A18" s="2">
        <v>1</v>
      </c>
      <c r="B18" s="2" t="s">
        <v>177</v>
      </c>
      <c r="C18" s="2">
        <v>32</v>
      </c>
      <c r="D18" s="2" t="s">
        <v>121</v>
      </c>
      <c r="E18" s="2" t="s">
        <v>178</v>
      </c>
      <c r="F18" s="2">
        <v>6</v>
      </c>
      <c r="G18" s="2" t="s">
        <v>155</v>
      </c>
      <c r="H18" s="2">
        <v>185</v>
      </c>
      <c r="I18" s="2" t="s">
        <v>179</v>
      </c>
      <c r="J18" s="2" t="s">
        <v>180</v>
      </c>
      <c r="K18" s="2"/>
      <c r="L18" s="2"/>
    </row>
    <row r="19" spans="1:12" ht="32.4" x14ac:dyDescent="0.25">
      <c r="A19" s="2">
        <v>2</v>
      </c>
      <c r="B19" s="2" t="s">
        <v>181</v>
      </c>
      <c r="C19" s="2">
        <v>41</v>
      </c>
      <c r="D19" s="2" t="s">
        <v>182</v>
      </c>
      <c r="E19" s="2" t="s">
        <v>183</v>
      </c>
      <c r="F19" s="2">
        <v>7</v>
      </c>
      <c r="G19" s="2" t="s">
        <v>184</v>
      </c>
      <c r="H19" s="2">
        <v>282</v>
      </c>
      <c r="I19" s="2" t="s">
        <v>185</v>
      </c>
      <c r="J19" s="2" t="s">
        <v>186</v>
      </c>
      <c r="K19" s="2"/>
      <c r="L19" s="2"/>
    </row>
    <row r="20" spans="1:12" ht="32.4" x14ac:dyDescent="0.25">
      <c r="A20" s="2">
        <v>3</v>
      </c>
      <c r="B20" s="2" t="s">
        <v>143</v>
      </c>
      <c r="C20" s="2">
        <v>46</v>
      </c>
      <c r="D20" s="2" t="s">
        <v>187</v>
      </c>
      <c r="E20" s="2" t="s">
        <v>188</v>
      </c>
      <c r="F20" s="2">
        <v>8</v>
      </c>
      <c r="G20" s="2" t="s">
        <v>189</v>
      </c>
      <c r="H20" s="2">
        <v>295</v>
      </c>
      <c r="I20" s="2" t="s">
        <v>190</v>
      </c>
      <c r="J20" s="2" t="s">
        <v>191</v>
      </c>
      <c r="K20" s="2"/>
      <c r="L20" s="2"/>
    </row>
    <row r="21" spans="1:12" ht="32.4" x14ac:dyDescent="0.25">
      <c r="A21" s="2">
        <v>4</v>
      </c>
      <c r="B21" s="2" t="s">
        <v>192</v>
      </c>
      <c r="C21" s="2">
        <v>115</v>
      </c>
      <c r="D21" s="2" t="s">
        <v>153</v>
      </c>
      <c r="E21" s="2" t="s">
        <v>193</v>
      </c>
      <c r="F21" s="2">
        <v>9</v>
      </c>
      <c r="G21" s="2" t="s">
        <v>194</v>
      </c>
      <c r="H21" s="2">
        <v>324</v>
      </c>
      <c r="I21" s="2" t="s">
        <v>141</v>
      </c>
      <c r="J21" s="2" t="s">
        <v>195</v>
      </c>
      <c r="K21" s="2"/>
      <c r="L21" s="2"/>
    </row>
    <row r="22" spans="1:12" ht="32.4" x14ac:dyDescent="0.25">
      <c r="A22" s="2">
        <v>5</v>
      </c>
      <c r="B22" s="2" t="s">
        <v>196</v>
      </c>
      <c r="C22" s="2">
        <v>157</v>
      </c>
      <c r="D22" s="2" t="s">
        <v>141</v>
      </c>
      <c r="E22" s="2" t="s">
        <v>197</v>
      </c>
      <c r="F22" s="2">
        <v>10</v>
      </c>
      <c r="G22" s="2" t="s">
        <v>198</v>
      </c>
      <c r="H22" s="2">
        <v>346</v>
      </c>
      <c r="I22" s="2" t="s">
        <v>141</v>
      </c>
      <c r="J22" s="2" t="s">
        <v>199</v>
      </c>
      <c r="K22" s="2"/>
      <c r="L22" s="2"/>
    </row>
  </sheetData>
  <mergeCells count="9">
    <mergeCell ref="A1:L2"/>
    <mergeCell ref="A6:C6"/>
    <mergeCell ref="A8:L8"/>
    <mergeCell ref="A4:C4"/>
    <mergeCell ref="A16:L16"/>
    <mergeCell ref="A5:C5"/>
    <mergeCell ref="D5:L5"/>
    <mergeCell ref="E6:L6"/>
    <mergeCell ref="D4:L4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5"/>
  <sheetViews>
    <sheetView workbookViewId="0">
      <pane ySplit="4" topLeftCell="A5" activePane="bottomLeft" state="frozen"/>
      <selection pane="bottomLeft" sqref="A1:Q2"/>
    </sheetView>
  </sheetViews>
  <sheetFormatPr defaultRowHeight="14.4" x14ac:dyDescent="0.25"/>
  <cols>
    <col min="1" max="1" width="12" customWidth="1"/>
    <col min="2" max="2" width="22" customWidth="1"/>
    <col min="3" max="3" width="12" customWidth="1"/>
    <col min="4" max="4" width="10" customWidth="1"/>
    <col min="5" max="5" width="34" customWidth="1"/>
    <col min="6" max="6" width="8" customWidth="1"/>
    <col min="7" max="8" width="18" customWidth="1"/>
    <col min="9" max="9" width="12" customWidth="1"/>
    <col min="10" max="10" width="34" customWidth="1"/>
    <col min="11" max="11" width="22" customWidth="1"/>
    <col min="12" max="12" width="30" customWidth="1"/>
    <col min="13" max="13" width="20" customWidth="1"/>
    <col min="14" max="14" width="28" customWidth="1"/>
    <col min="15" max="15" width="24" customWidth="1"/>
    <col min="16" max="16" width="34" customWidth="1"/>
    <col min="17" max="17" width="28" customWidth="1"/>
  </cols>
  <sheetData>
    <row r="1" spans="1:17" x14ac:dyDescent="0.25">
      <c r="A1" s="17" t="s">
        <v>200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4" spans="1:17" ht="16.2" x14ac:dyDescent="0.25">
      <c r="A4" s="5" t="s">
        <v>201</v>
      </c>
      <c r="B4" s="5" t="s">
        <v>202</v>
      </c>
      <c r="C4" s="5" t="s">
        <v>203</v>
      </c>
      <c r="D4" s="5" t="s">
        <v>204</v>
      </c>
      <c r="E4" s="5" t="s">
        <v>205</v>
      </c>
      <c r="F4" s="5" t="s">
        <v>206</v>
      </c>
      <c r="G4" s="5" t="s">
        <v>207</v>
      </c>
      <c r="H4" s="5" t="s">
        <v>72</v>
      </c>
      <c r="I4" s="5" t="s">
        <v>208</v>
      </c>
      <c r="J4" s="5" t="s">
        <v>209</v>
      </c>
      <c r="K4" s="5" t="s">
        <v>175</v>
      </c>
      <c r="L4" s="5" t="s">
        <v>210</v>
      </c>
      <c r="M4" s="5" t="s">
        <v>159</v>
      </c>
      <c r="N4" s="5" t="s">
        <v>211</v>
      </c>
      <c r="O4" s="5" t="s">
        <v>212</v>
      </c>
      <c r="P4" s="5" t="s">
        <v>213</v>
      </c>
      <c r="Q4" s="5" t="s">
        <v>176</v>
      </c>
    </row>
    <row r="5" spans="1:17" ht="32.4" x14ac:dyDescent="0.25">
      <c r="A5" s="19" t="s">
        <v>214</v>
      </c>
      <c r="B5" s="18" t="s">
        <v>177</v>
      </c>
      <c r="C5" s="18" t="s">
        <v>215</v>
      </c>
      <c r="D5" s="19">
        <v>32</v>
      </c>
      <c r="E5" s="19" t="s">
        <v>216</v>
      </c>
      <c r="F5" s="6">
        <v>1</v>
      </c>
      <c r="G5" s="6" t="s">
        <v>217</v>
      </c>
      <c r="H5" s="6" t="s">
        <v>218</v>
      </c>
      <c r="I5" s="6" t="s">
        <v>219</v>
      </c>
      <c r="J5" s="6" t="s">
        <v>220</v>
      </c>
      <c r="K5" s="23" t="s">
        <v>121</v>
      </c>
      <c r="L5" s="20" t="s">
        <v>221</v>
      </c>
      <c r="M5" s="20" t="s">
        <v>222</v>
      </c>
      <c r="N5" s="20" t="s">
        <v>223</v>
      </c>
      <c r="O5" s="20" t="s">
        <v>223</v>
      </c>
      <c r="P5" s="20" t="s">
        <v>224</v>
      </c>
      <c r="Q5" s="20" t="s">
        <v>178</v>
      </c>
    </row>
    <row r="6" spans="1:17" ht="16.2" x14ac:dyDescent="0.25">
      <c r="A6" s="19" t="s">
        <v>225</v>
      </c>
      <c r="B6" s="18" t="s">
        <v>181</v>
      </c>
      <c r="C6" s="18" t="s">
        <v>215</v>
      </c>
      <c r="D6" s="19">
        <v>41</v>
      </c>
      <c r="E6" s="19" t="s">
        <v>226</v>
      </c>
      <c r="F6" s="6">
        <v>1</v>
      </c>
      <c r="G6" s="6" t="s">
        <v>140</v>
      </c>
      <c r="H6" s="6" t="s">
        <v>141</v>
      </c>
      <c r="I6" s="6" t="s">
        <v>121</v>
      </c>
      <c r="J6" s="6" t="s">
        <v>227</v>
      </c>
      <c r="K6" s="23" t="s">
        <v>182</v>
      </c>
      <c r="L6" s="20" t="s">
        <v>228</v>
      </c>
      <c r="M6" s="20" t="s">
        <v>229</v>
      </c>
      <c r="N6" s="20" t="s">
        <v>230</v>
      </c>
      <c r="O6" s="20" t="s">
        <v>223</v>
      </c>
      <c r="P6" s="20" t="s">
        <v>231</v>
      </c>
      <c r="Q6" s="20" t="s">
        <v>183</v>
      </c>
    </row>
    <row r="7" spans="1:17" ht="16.2" x14ac:dyDescent="0.25">
      <c r="A7" s="19" t="s">
        <v>232</v>
      </c>
      <c r="B7" s="18" t="s">
        <v>143</v>
      </c>
      <c r="C7" s="18" t="s">
        <v>215</v>
      </c>
      <c r="D7" s="19">
        <v>46</v>
      </c>
      <c r="E7" s="19" t="s">
        <v>233</v>
      </c>
      <c r="F7" s="6">
        <v>1</v>
      </c>
      <c r="G7" s="6" t="s">
        <v>140</v>
      </c>
      <c r="H7" s="6" t="s">
        <v>141</v>
      </c>
      <c r="I7" s="6" t="s">
        <v>121</v>
      </c>
      <c r="J7" s="6" t="s">
        <v>234</v>
      </c>
      <c r="K7" s="23" t="s">
        <v>187</v>
      </c>
      <c r="L7" s="20" t="s">
        <v>235</v>
      </c>
      <c r="M7" s="20" t="s">
        <v>236</v>
      </c>
      <c r="N7" s="20" t="s">
        <v>237</v>
      </c>
      <c r="O7" s="20" t="s">
        <v>238</v>
      </c>
      <c r="P7" s="20" t="s">
        <v>239</v>
      </c>
      <c r="Q7" s="20" t="s">
        <v>188</v>
      </c>
    </row>
    <row r="8" spans="1:17" ht="16.2" x14ac:dyDescent="0.25">
      <c r="A8" s="21" t="s">
        <v>240</v>
      </c>
      <c r="B8" s="22" t="s">
        <v>192</v>
      </c>
      <c r="C8" s="22" t="s">
        <v>241</v>
      </c>
      <c r="D8" s="21">
        <v>115</v>
      </c>
      <c r="E8" s="21" t="s">
        <v>242</v>
      </c>
      <c r="F8" s="6">
        <v>1</v>
      </c>
      <c r="G8" s="6" t="s">
        <v>243</v>
      </c>
      <c r="H8" s="6" t="s">
        <v>244</v>
      </c>
      <c r="I8" s="6" t="s">
        <v>121</v>
      </c>
      <c r="J8" s="6" t="s">
        <v>245</v>
      </c>
      <c r="K8" s="23" t="s">
        <v>153</v>
      </c>
      <c r="L8" s="20" t="s">
        <v>246</v>
      </c>
      <c r="M8" s="20" t="s">
        <v>143</v>
      </c>
      <c r="N8" s="20" t="s">
        <v>196</v>
      </c>
      <c r="O8" s="20" t="s">
        <v>247</v>
      </c>
      <c r="P8" s="20" t="s">
        <v>248</v>
      </c>
      <c r="Q8" s="20" t="s">
        <v>193</v>
      </c>
    </row>
    <row r="9" spans="1:17" ht="16.2" x14ac:dyDescent="0.25">
      <c r="A9" s="12"/>
      <c r="B9" s="12"/>
      <c r="C9" s="12"/>
      <c r="D9" s="12"/>
      <c r="E9" s="12"/>
      <c r="F9" s="7">
        <v>2</v>
      </c>
      <c r="G9" s="7" t="s">
        <v>249</v>
      </c>
      <c r="H9" s="7" t="s">
        <v>244</v>
      </c>
      <c r="I9" s="7" t="s">
        <v>121</v>
      </c>
      <c r="J9" s="7" t="s">
        <v>250</v>
      </c>
      <c r="K9" s="12"/>
      <c r="L9" s="12"/>
      <c r="M9" s="12"/>
      <c r="N9" s="12"/>
      <c r="O9" s="12"/>
      <c r="P9" s="12"/>
      <c r="Q9" s="12"/>
    </row>
    <row r="10" spans="1:17" ht="16.2" x14ac:dyDescent="0.25">
      <c r="A10" s="12"/>
      <c r="B10" s="12"/>
      <c r="C10" s="12"/>
      <c r="D10" s="12"/>
      <c r="E10" s="12"/>
      <c r="F10" s="6">
        <v>3</v>
      </c>
      <c r="G10" s="6" t="s">
        <v>251</v>
      </c>
      <c r="H10" s="6" t="s">
        <v>165</v>
      </c>
      <c r="I10" s="6" t="s">
        <v>121</v>
      </c>
      <c r="J10" s="6" t="s">
        <v>252</v>
      </c>
      <c r="K10" s="12"/>
      <c r="L10" s="12"/>
      <c r="M10" s="12"/>
      <c r="N10" s="12"/>
      <c r="O10" s="12"/>
      <c r="P10" s="12"/>
      <c r="Q10" s="12"/>
    </row>
    <row r="11" spans="1:17" ht="16.2" x14ac:dyDescent="0.25">
      <c r="A11" s="21" t="s">
        <v>240</v>
      </c>
      <c r="B11" s="22" t="s">
        <v>196</v>
      </c>
      <c r="C11" s="22" t="s">
        <v>241</v>
      </c>
      <c r="D11" s="21">
        <v>157</v>
      </c>
      <c r="E11" s="21" t="s">
        <v>253</v>
      </c>
      <c r="F11" s="6">
        <v>1</v>
      </c>
      <c r="G11" s="6" t="s">
        <v>254</v>
      </c>
      <c r="H11" s="6" t="s">
        <v>255</v>
      </c>
      <c r="I11" s="6" t="s">
        <v>121</v>
      </c>
      <c r="J11" s="6" t="s">
        <v>256</v>
      </c>
      <c r="K11" s="23" t="s">
        <v>141</v>
      </c>
      <c r="L11" s="20" t="s">
        <v>257</v>
      </c>
      <c r="M11" s="20" t="s">
        <v>192</v>
      </c>
      <c r="N11" s="20" t="s">
        <v>258</v>
      </c>
      <c r="O11" s="20" t="s">
        <v>259</v>
      </c>
      <c r="P11" s="20" t="s">
        <v>260</v>
      </c>
      <c r="Q11" s="20" t="s">
        <v>197</v>
      </c>
    </row>
    <row r="12" spans="1:17" ht="16.2" x14ac:dyDescent="0.25">
      <c r="A12" s="12"/>
      <c r="B12" s="12"/>
      <c r="C12" s="12"/>
      <c r="D12" s="12"/>
      <c r="E12" s="12"/>
      <c r="F12" s="7">
        <v>2</v>
      </c>
      <c r="G12" s="7" t="s">
        <v>261</v>
      </c>
      <c r="H12" s="7" t="s">
        <v>255</v>
      </c>
      <c r="I12" s="7" t="s">
        <v>121</v>
      </c>
      <c r="J12" s="7" t="s">
        <v>262</v>
      </c>
      <c r="K12" s="12"/>
      <c r="L12" s="12"/>
      <c r="M12" s="12"/>
      <c r="N12" s="12"/>
      <c r="O12" s="12"/>
      <c r="P12" s="12"/>
      <c r="Q12" s="12"/>
    </row>
    <row r="13" spans="1:17" ht="16.2" x14ac:dyDescent="0.25">
      <c r="A13" s="12"/>
      <c r="B13" s="12"/>
      <c r="C13" s="12"/>
      <c r="D13" s="12"/>
      <c r="E13" s="12"/>
      <c r="F13" s="6">
        <v>3</v>
      </c>
      <c r="G13" s="6" t="s">
        <v>251</v>
      </c>
      <c r="H13" s="6" t="s">
        <v>165</v>
      </c>
      <c r="I13" s="6" t="s">
        <v>121</v>
      </c>
      <c r="J13" s="6" t="s">
        <v>263</v>
      </c>
      <c r="K13" s="12"/>
      <c r="L13" s="12"/>
      <c r="M13" s="12"/>
      <c r="N13" s="12"/>
      <c r="O13" s="12"/>
      <c r="P13" s="12"/>
      <c r="Q13" s="12"/>
    </row>
    <row r="14" spans="1:17" ht="32.4" x14ac:dyDescent="0.25">
      <c r="A14" s="21" t="s">
        <v>264</v>
      </c>
      <c r="B14" s="22" t="s">
        <v>155</v>
      </c>
      <c r="C14" s="22" t="s">
        <v>241</v>
      </c>
      <c r="D14" s="21">
        <v>185</v>
      </c>
      <c r="E14" s="21" t="s">
        <v>265</v>
      </c>
      <c r="F14" s="6">
        <v>1</v>
      </c>
      <c r="G14" s="6" t="s">
        <v>152</v>
      </c>
      <c r="H14" s="6" t="s">
        <v>153</v>
      </c>
      <c r="I14" s="6" t="s">
        <v>121</v>
      </c>
      <c r="J14" s="6" t="s">
        <v>266</v>
      </c>
      <c r="K14" s="23" t="s">
        <v>179</v>
      </c>
      <c r="L14" s="20" t="s">
        <v>267</v>
      </c>
      <c r="M14" s="20" t="s">
        <v>143</v>
      </c>
      <c r="N14" s="20" t="s">
        <v>268</v>
      </c>
      <c r="O14" s="20" t="s">
        <v>269</v>
      </c>
      <c r="P14" s="20" t="s">
        <v>270</v>
      </c>
      <c r="Q14" s="20" t="s">
        <v>180</v>
      </c>
    </row>
    <row r="15" spans="1:17" ht="16.2" x14ac:dyDescent="0.25">
      <c r="A15" s="12"/>
      <c r="B15" s="12"/>
      <c r="C15" s="12"/>
      <c r="D15" s="12"/>
      <c r="E15" s="12"/>
      <c r="F15" s="7">
        <v>2</v>
      </c>
      <c r="G15" s="7" t="s">
        <v>140</v>
      </c>
      <c r="H15" s="7" t="s">
        <v>141</v>
      </c>
      <c r="I15" s="7" t="s">
        <v>121</v>
      </c>
      <c r="J15" s="7" t="s">
        <v>271</v>
      </c>
      <c r="K15" s="12"/>
      <c r="L15" s="12"/>
      <c r="M15" s="12"/>
      <c r="N15" s="12"/>
      <c r="O15" s="12"/>
      <c r="P15" s="12"/>
      <c r="Q15" s="12"/>
    </row>
    <row r="16" spans="1:17" ht="16.2" x14ac:dyDescent="0.25">
      <c r="A16" s="12"/>
      <c r="B16" s="12"/>
      <c r="C16" s="12"/>
      <c r="D16" s="12"/>
      <c r="E16" s="12"/>
      <c r="F16" s="6">
        <v>3</v>
      </c>
      <c r="G16" s="6" t="s">
        <v>272</v>
      </c>
      <c r="H16" s="6" t="s">
        <v>141</v>
      </c>
      <c r="I16" s="6" t="s">
        <v>121</v>
      </c>
      <c r="J16" s="6" t="s">
        <v>273</v>
      </c>
      <c r="K16" s="12"/>
      <c r="L16" s="12"/>
      <c r="M16" s="12"/>
      <c r="N16" s="12"/>
      <c r="O16" s="12"/>
      <c r="P16" s="12"/>
      <c r="Q16" s="12"/>
    </row>
    <row r="17" spans="1:17" ht="16.2" x14ac:dyDescent="0.25">
      <c r="A17" s="21" t="s">
        <v>274</v>
      </c>
      <c r="B17" s="22" t="s">
        <v>184</v>
      </c>
      <c r="C17" s="22" t="s">
        <v>241</v>
      </c>
      <c r="D17" s="21">
        <v>282</v>
      </c>
      <c r="E17" s="21" t="s">
        <v>275</v>
      </c>
      <c r="F17" s="6">
        <v>1</v>
      </c>
      <c r="G17" s="6" t="s">
        <v>152</v>
      </c>
      <c r="H17" s="6" t="s">
        <v>153</v>
      </c>
      <c r="I17" s="6" t="s">
        <v>121</v>
      </c>
      <c r="J17" s="6" t="s">
        <v>276</v>
      </c>
      <c r="K17" s="23" t="s">
        <v>185</v>
      </c>
      <c r="L17" s="20" t="s">
        <v>277</v>
      </c>
      <c r="M17" s="20" t="s">
        <v>155</v>
      </c>
      <c r="N17" s="20" t="s">
        <v>278</v>
      </c>
      <c r="O17" s="20" t="s">
        <v>223</v>
      </c>
      <c r="P17" s="20" t="s">
        <v>279</v>
      </c>
      <c r="Q17" s="20" t="s">
        <v>186</v>
      </c>
    </row>
    <row r="18" spans="1:17" ht="16.2" x14ac:dyDescent="0.25">
      <c r="A18" s="21" t="s">
        <v>280</v>
      </c>
      <c r="B18" s="22" t="s">
        <v>189</v>
      </c>
      <c r="C18" s="22" t="s">
        <v>241</v>
      </c>
      <c r="D18" s="21">
        <v>295</v>
      </c>
      <c r="E18" s="21" t="s">
        <v>281</v>
      </c>
      <c r="F18" s="6">
        <v>1</v>
      </c>
      <c r="G18" s="6" t="s">
        <v>282</v>
      </c>
      <c r="H18" s="6" t="s">
        <v>153</v>
      </c>
      <c r="I18" s="6" t="s">
        <v>121</v>
      </c>
      <c r="J18" s="6" t="s">
        <v>283</v>
      </c>
      <c r="K18" s="23" t="s">
        <v>190</v>
      </c>
      <c r="L18" s="20" t="s">
        <v>284</v>
      </c>
      <c r="M18" s="20" t="s">
        <v>155</v>
      </c>
      <c r="N18" s="20" t="s">
        <v>285</v>
      </c>
      <c r="O18" s="20" t="s">
        <v>223</v>
      </c>
      <c r="P18" s="20" t="s">
        <v>286</v>
      </c>
      <c r="Q18" s="20" t="s">
        <v>191</v>
      </c>
    </row>
    <row r="19" spans="1:17" ht="16.2" x14ac:dyDescent="0.25">
      <c r="A19" s="12"/>
      <c r="B19" s="12"/>
      <c r="C19" s="12"/>
      <c r="D19" s="12"/>
      <c r="E19" s="12"/>
      <c r="F19" s="7">
        <v>2</v>
      </c>
      <c r="G19" s="7" t="s">
        <v>287</v>
      </c>
      <c r="H19" s="7" t="s">
        <v>185</v>
      </c>
      <c r="I19" s="7" t="s">
        <v>121</v>
      </c>
      <c r="J19" s="7" t="s">
        <v>288</v>
      </c>
      <c r="K19" s="12"/>
      <c r="L19" s="12"/>
      <c r="M19" s="12"/>
      <c r="N19" s="12"/>
      <c r="O19" s="12"/>
      <c r="P19" s="12"/>
      <c r="Q19" s="12"/>
    </row>
    <row r="20" spans="1:17" ht="16.2" x14ac:dyDescent="0.25">
      <c r="A20" s="12"/>
      <c r="B20" s="12"/>
      <c r="C20" s="12"/>
      <c r="D20" s="12"/>
      <c r="E20" s="12"/>
      <c r="F20" s="6">
        <v>3</v>
      </c>
      <c r="G20" s="6" t="s">
        <v>289</v>
      </c>
      <c r="H20" s="6" t="s">
        <v>185</v>
      </c>
      <c r="I20" s="6" t="s">
        <v>121</v>
      </c>
      <c r="J20" s="6" t="s">
        <v>290</v>
      </c>
      <c r="K20" s="12"/>
      <c r="L20" s="12"/>
      <c r="M20" s="12"/>
      <c r="N20" s="12"/>
      <c r="O20" s="12"/>
      <c r="P20" s="12"/>
      <c r="Q20" s="12"/>
    </row>
    <row r="21" spans="1:17" ht="32.4" x14ac:dyDescent="0.25">
      <c r="A21" s="12"/>
      <c r="B21" s="12"/>
      <c r="C21" s="12"/>
      <c r="D21" s="12"/>
      <c r="E21" s="12"/>
      <c r="F21" s="7">
        <v>4</v>
      </c>
      <c r="G21" s="7" t="s">
        <v>140</v>
      </c>
      <c r="H21" s="7" t="s">
        <v>141</v>
      </c>
      <c r="I21" s="7" t="s">
        <v>121</v>
      </c>
      <c r="J21" s="7" t="s">
        <v>291</v>
      </c>
      <c r="K21" s="12"/>
      <c r="L21" s="12"/>
      <c r="M21" s="12"/>
      <c r="N21" s="12"/>
      <c r="O21" s="12"/>
      <c r="P21" s="12"/>
      <c r="Q21" s="12"/>
    </row>
    <row r="22" spans="1:17" ht="32.4" x14ac:dyDescent="0.25">
      <c r="A22" s="12"/>
      <c r="B22" s="12"/>
      <c r="C22" s="12"/>
      <c r="D22" s="12"/>
      <c r="E22" s="12"/>
      <c r="F22" s="6">
        <v>5</v>
      </c>
      <c r="G22" s="6" t="s">
        <v>272</v>
      </c>
      <c r="H22" s="6" t="s">
        <v>141</v>
      </c>
      <c r="I22" s="6" t="s">
        <v>121</v>
      </c>
      <c r="J22" s="6" t="s">
        <v>292</v>
      </c>
      <c r="K22" s="12"/>
      <c r="L22" s="12"/>
      <c r="M22" s="12"/>
      <c r="N22" s="12"/>
      <c r="O22" s="12"/>
      <c r="P22" s="12"/>
      <c r="Q22" s="12"/>
    </row>
    <row r="23" spans="1:17" ht="16.2" x14ac:dyDescent="0.25">
      <c r="A23" s="12"/>
      <c r="B23" s="12"/>
      <c r="C23" s="12"/>
      <c r="D23" s="12"/>
      <c r="E23" s="12"/>
      <c r="F23" s="7">
        <v>6</v>
      </c>
      <c r="G23" s="7" t="s">
        <v>293</v>
      </c>
      <c r="H23" s="7" t="s">
        <v>185</v>
      </c>
      <c r="I23" s="7" t="s">
        <v>121</v>
      </c>
      <c r="J23" s="7" t="s">
        <v>294</v>
      </c>
      <c r="K23" s="12"/>
      <c r="L23" s="12"/>
      <c r="M23" s="12"/>
      <c r="N23" s="12"/>
      <c r="O23" s="12"/>
      <c r="P23" s="12"/>
      <c r="Q23" s="12"/>
    </row>
    <row r="24" spans="1:17" ht="16.2" x14ac:dyDescent="0.25">
      <c r="A24" s="21" t="s">
        <v>295</v>
      </c>
      <c r="B24" s="22" t="s">
        <v>194</v>
      </c>
      <c r="C24" s="22" t="s">
        <v>241</v>
      </c>
      <c r="D24" s="21">
        <v>324</v>
      </c>
      <c r="E24" s="21" t="s">
        <v>296</v>
      </c>
      <c r="F24" s="6">
        <v>1</v>
      </c>
      <c r="G24" s="6" t="s">
        <v>297</v>
      </c>
      <c r="H24" s="6" t="s">
        <v>165</v>
      </c>
      <c r="I24" s="6" t="s">
        <v>121</v>
      </c>
      <c r="J24" s="6" t="s">
        <v>298</v>
      </c>
      <c r="K24" s="23" t="s">
        <v>141</v>
      </c>
      <c r="L24" s="20" t="s">
        <v>299</v>
      </c>
      <c r="M24" s="20" t="s">
        <v>155</v>
      </c>
      <c r="N24" s="20" t="s">
        <v>300</v>
      </c>
      <c r="O24" s="20" t="s">
        <v>223</v>
      </c>
      <c r="P24" s="20" t="s">
        <v>301</v>
      </c>
      <c r="Q24" s="20" t="s">
        <v>195</v>
      </c>
    </row>
    <row r="25" spans="1:17" ht="16.2" x14ac:dyDescent="0.25">
      <c r="A25" s="21" t="s">
        <v>302</v>
      </c>
      <c r="B25" s="22" t="s">
        <v>198</v>
      </c>
      <c r="C25" s="22" t="s">
        <v>241</v>
      </c>
      <c r="D25" s="21">
        <v>346</v>
      </c>
      <c r="E25" s="21" t="s">
        <v>303</v>
      </c>
      <c r="F25" s="6">
        <v>1</v>
      </c>
      <c r="G25" s="6" t="s">
        <v>304</v>
      </c>
      <c r="H25" s="6" t="s">
        <v>244</v>
      </c>
      <c r="I25" s="6" t="s">
        <v>121</v>
      </c>
      <c r="J25" s="6" t="s">
        <v>305</v>
      </c>
      <c r="K25" s="23" t="s">
        <v>141</v>
      </c>
      <c r="L25" s="20" t="s">
        <v>306</v>
      </c>
      <c r="M25" s="20" t="s">
        <v>143</v>
      </c>
      <c r="N25" s="20" t="s">
        <v>307</v>
      </c>
      <c r="O25" s="20" t="s">
        <v>308</v>
      </c>
      <c r="P25" s="20" t="s">
        <v>309</v>
      </c>
      <c r="Q25" s="20" t="s">
        <v>199</v>
      </c>
    </row>
  </sheetData>
  <autoFilter ref="A4:Q25" xr:uid="{00000000-0009-0000-0000-000005000000}"/>
  <mergeCells count="121">
    <mergeCell ref="A1:Q2"/>
    <mergeCell ref="D18:D23"/>
    <mergeCell ref="N17"/>
    <mergeCell ref="P17"/>
    <mergeCell ref="L8:L10"/>
    <mergeCell ref="D11:D13"/>
    <mergeCell ref="Q6"/>
    <mergeCell ref="L25"/>
    <mergeCell ref="K25"/>
    <mergeCell ref="B7"/>
    <mergeCell ref="L7"/>
    <mergeCell ref="N7"/>
    <mergeCell ref="K5"/>
    <mergeCell ref="M5"/>
    <mergeCell ref="C5"/>
    <mergeCell ref="E5"/>
    <mergeCell ref="A18:A23"/>
    <mergeCell ref="A11:A13"/>
    <mergeCell ref="B25"/>
    <mergeCell ref="C6"/>
    <mergeCell ref="K24"/>
    <mergeCell ref="N25"/>
    <mergeCell ref="P25"/>
    <mergeCell ref="D6"/>
    <mergeCell ref="K11:K13"/>
    <mergeCell ref="C14:C16"/>
    <mergeCell ref="M11:M13"/>
    <mergeCell ref="E14:E16"/>
    <mergeCell ref="P18:P23"/>
    <mergeCell ref="M7"/>
    <mergeCell ref="P11:P13"/>
    <mergeCell ref="K8:K10"/>
    <mergeCell ref="C8:C10"/>
    <mergeCell ref="K17"/>
    <mergeCell ref="C17"/>
    <mergeCell ref="L6"/>
    <mergeCell ref="B24"/>
    <mergeCell ref="N6"/>
    <mergeCell ref="E25"/>
    <mergeCell ref="D8:D10"/>
    <mergeCell ref="D24"/>
    <mergeCell ref="D14:D16"/>
    <mergeCell ref="A8:A10"/>
    <mergeCell ref="M17"/>
    <mergeCell ref="E18:E23"/>
    <mergeCell ref="O17"/>
    <mergeCell ref="Q17"/>
    <mergeCell ref="C11:C13"/>
    <mergeCell ref="E11:E13"/>
    <mergeCell ref="N24"/>
    <mergeCell ref="P24"/>
    <mergeCell ref="Q14:Q16"/>
    <mergeCell ref="A17"/>
    <mergeCell ref="O18:O23"/>
    <mergeCell ref="M8:M10"/>
    <mergeCell ref="Q18:Q23"/>
    <mergeCell ref="O8:O10"/>
    <mergeCell ref="Q5"/>
    <mergeCell ref="L24"/>
    <mergeCell ref="M18:M23"/>
    <mergeCell ref="B17"/>
    <mergeCell ref="D17"/>
    <mergeCell ref="M6"/>
    <mergeCell ref="E6"/>
    <mergeCell ref="A5"/>
    <mergeCell ref="D25"/>
    <mergeCell ref="K7"/>
    <mergeCell ref="O11:O13"/>
    <mergeCell ref="Q11:Q13"/>
    <mergeCell ref="A14:A16"/>
    <mergeCell ref="B5"/>
    <mergeCell ref="K14:K16"/>
    <mergeCell ref="D5"/>
    <mergeCell ref="B18:B23"/>
    <mergeCell ref="O7"/>
    <mergeCell ref="L17"/>
    <mergeCell ref="Q7"/>
    <mergeCell ref="A24"/>
    <mergeCell ref="C24"/>
    <mergeCell ref="O6"/>
    <mergeCell ref="E24"/>
    <mergeCell ref="Q25"/>
    <mergeCell ref="L11:L13"/>
    <mergeCell ref="N11:N13"/>
    <mergeCell ref="O24"/>
    <mergeCell ref="P14:P16"/>
    <mergeCell ref="Q24"/>
    <mergeCell ref="A6"/>
    <mergeCell ref="E8:E10"/>
    <mergeCell ref="A25"/>
    <mergeCell ref="C25"/>
    <mergeCell ref="B8:B10"/>
    <mergeCell ref="E17"/>
    <mergeCell ref="A7"/>
    <mergeCell ref="P6"/>
    <mergeCell ref="B11:B13"/>
    <mergeCell ref="Q8:Q10"/>
    <mergeCell ref="M25"/>
    <mergeCell ref="D7"/>
    <mergeCell ref="O25"/>
    <mergeCell ref="N8:N10"/>
    <mergeCell ref="B14:B16"/>
    <mergeCell ref="P8:P10"/>
    <mergeCell ref="P7"/>
    <mergeCell ref="L14:L16"/>
    <mergeCell ref="C7"/>
    <mergeCell ref="B6"/>
    <mergeCell ref="E7"/>
    <mergeCell ref="M24"/>
    <mergeCell ref="M14:M16"/>
    <mergeCell ref="O14:O16"/>
    <mergeCell ref="P5"/>
    <mergeCell ref="L18:L23"/>
    <mergeCell ref="N18:N23"/>
    <mergeCell ref="O5"/>
    <mergeCell ref="L5"/>
    <mergeCell ref="N5"/>
    <mergeCell ref="N14:N16"/>
    <mergeCell ref="K18:K23"/>
    <mergeCell ref="C18:C23"/>
    <mergeCell ref="K6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workbookViewId="0">
      <pane ySplit="4" topLeftCell="A5" activePane="bottomLeft" state="frozen"/>
      <selection pane="bottomLeft" activeCell="E32" sqref="E32"/>
    </sheetView>
  </sheetViews>
  <sheetFormatPr defaultRowHeight="14.4" x14ac:dyDescent="0.25"/>
  <cols>
    <col min="1" max="1" width="8" customWidth="1"/>
    <col min="2" max="2" width="16" customWidth="1"/>
    <col min="3" max="3" width="24" customWidth="1"/>
    <col min="4" max="9" width="18" customWidth="1"/>
    <col min="10" max="10" width="20" customWidth="1"/>
  </cols>
  <sheetData>
    <row r="1" spans="1:10" x14ac:dyDescent="0.25">
      <c r="A1" s="17" t="s">
        <v>310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</row>
    <row r="4" spans="1:10" ht="32.4" x14ac:dyDescent="0.25">
      <c r="A4" s="5" t="s">
        <v>311</v>
      </c>
      <c r="B4" s="5" t="s">
        <v>159</v>
      </c>
      <c r="C4" s="5" t="s">
        <v>143</v>
      </c>
      <c r="D4" s="5" t="s">
        <v>312</v>
      </c>
      <c r="E4" s="5" t="s">
        <v>196</v>
      </c>
      <c r="F4" s="5" t="s">
        <v>155</v>
      </c>
      <c r="G4" s="5" t="s">
        <v>189</v>
      </c>
      <c r="H4" s="5" t="s">
        <v>194</v>
      </c>
      <c r="I4" s="5" t="s">
        <v>313</v>
      </c>
      <c r="J4" s="5" t="s">
        <v>157</v>
      </c>
    </row>
    <row r="5" spans="1:10" ht="32.4" x14ac:dyDescent="0.25">
      <c r="A5" s="2" t="s">
        <v>314</v>
      </c>
      <c r="B5" s="2" t="s">
        <v>142</v>
      </c>
      <c r="C5" s="2" t="s">
        <v>315</v>
      </c>
      <c r="D5" s="2"/>
      <c r="E5" s="2"/>
      <c r="F5" s="2"/>
      <c r="G5" s="2"/>
      <c r="H5" s="2"/>
      <c r="I5" s="2"/>
      <c r="J5" s="2"/>
    </row>
    <row r="6" spans="1:10" ht="32.4" x14ac:dyDescent="0.25">
      <c r="A6" s="2" t="s">
        <v>316</v>
      </c>
      <c r="B6" s="2" t="s">
        <v>142</v>
      </c>
      <c r="C6" s="2" t="s">
        <v>317</v>
      </c>
      <c r="D6" s="2"/>
      <c r="E6" s="2"/>
      <c r="F6" s="2"/>
      <c r="G6" s="2"/>
      <c r="H6" s="2"/>
      <c r="I6" s="2"/>
      <c r="J6" s="2"/>
    </row>
    <row r="7" spans="1:10" ht="32.4" x14ac:dyDescent="0.25">
      <c r="A7" s="2" t="s">
        <v>318</v>
      </c>
      <c r="B7" s="2" t="s">
        <v>142</v>
      </c>
      <c r="C7" s="2" t="s">
        <v>319</v>
      </c>
      <c r="D7" s="2"/>
      <c r="E7" s="2"/>
      <c r="F7" s="2"/>
      <c r="G7" s="2"/>
      <c r="H7" s="2"/>
      <c r="I7" s="2"/>
      <c r="J7" s="2" t="s">
        <v>320</v>
      </c>
    </row>
    <row r="8" spans="1:10" ht="16.2" x14ac:dyDescent="0.25">
      <c r="A8" s="2" t="s">
        <v>321</v>
      </c>
      <c r="B8" s="2"/>
      <c r="C8" s="2" t="s">
        <v>322</v>
      </c>
      <c r="D8" s="2" t="s">
        <v>323</v>
      </c>
      <c r="E8" s="2" t="s">
        <v>324</v>
      </c>
      <c r="F8" s="2"/>
      <c r="G8" s="2"/>
      <c r="H8" s="2"/>
      <c r="I8" s="2"/>
      <c r="J8" s="2"/>
    </row>
    <row r="9" spans="1:10" ht="32.4" x14ac:dyDescent="0.25">
      <c r="A9" s="2" t="s">
        <v>325</v>
      </c>
      <c r="B9" s="2"/>
      <c r="C9" s="2"/>
      <c r="D9" s="2" t="s">
        <v>326</v>
      </c>
      <c r="E9" s="2" t="s">
        <v>327</v>
      </c>
      <c r="F9" s="2"/>
      <c r="G9" s="2"/>
      <c r="H9" s="2"/>
      <c r="I9" s="2"/>
      <c r="J9" s="2"/>
    </row>
    <row r="10" spans="1:10" ht="32.4" x14ac:dyDescent="0.25">
      <c r="A10" s="2" t="s">
        <v>328</v>
      </c>
      <c r="B10" s="2"/>
      <c r="C10" s="2"/>
      <c r="D10" s="2" t="s">
        <v>329</v>
      </c>
      <c r="E10" s="2"/>
      <c r="F10" s="2"/>
      <c r="G10" s="2"/>
      <c r="H10" s="2"/>
      <c r="I10" s="2"/>
      <c r="J10" s="2" t="s">
        <v>330</v>
      </c>
    </row>
    <row r="11" spans="1:10" ht="16.2" x14ac:dyDescent="0.25">
      <c r="A11" s="2" t="s">
        <v>331</v>
      </c>
      <c r="B11" s="2"/>
      <c r="C11" s="2"/>
      <c r="D11" s="2"/>
      <c r="E11" s="2"/>
      <c r="F11" s="2" t="s">
        <v>332</v>
      </c>
      <c r="G11" s="2"/>
      <c r="H11" s="2"/>
      <c r="I11" s="2"/>
      <c r="J11" s="2"/>
    </row>
    <row r="12" spans="1:10" ht="16.2" x14ac:dyDescent="0.25">
      <c r="A12" s="2" t="s">
        <v>333</v>
      </c>
      <c r="B12" s="2"/>
      <c r="C12" s="2"/>
      <c r="D12" s="2"/>
      <c r="E12" s="2"/>
      <c r="F12" s="2" t="s">
        <v>334</v>
      </c>
      <c r="G12" s="2"/>
      <c r="H12" s="2"/>
      <c r="I12" s="2"/>
      <c r="J12" s="2"/>
    </row>
    <row r="13" spans="1:10" ht="16.2" x14ac:dyDescent="0.25">
      <c r="A13" s="2" t="s">
        <v>335</v>
      </c>
      <c r="B13" s="2"/>
      <c r="C13" s="2"/>
      <c r="D13" s="2"/>
      <c r="E13" s="2"/>
      <c r="F13" s="2" t="s">
        <v>336</v>
      </c>
      <c r="G13" s="2"/>
      <c r="H13" s="2" t="s">
        <v>337</v>
      </c>
      <c r="I13" s="2"/>
      <c r="J13" s="2" t="s">
        <v>338</v>
      </c>
    </row>
    <row r="14" spans="1:10" ht="16.2" x14ac:dyDescent="0.25">
      <c r="A14" s="2" t="s">
        <v>339</v>
      </c>
      <c r="B14" s="2"/>
      <c r="C14" s="2"/>
      <c r="D14" s="2"/>
      <c r="E14" s="2"/>
      <c r="F14" s="2" t="s">
        <v>340</v>
      </c>
      <c r="G14" s="2" t="s">
        <v>341</v>
      </c>
      <c r="H14" s="2"/>
      <c r="I14" s="2"/>
      <c r="J14" s="2" t="s">
        <v>342</v>
      </c>
    </row>
    <row r="15" spans="1:10" ht="32.4" x14ac:dyDescent="0.25">
      <c r="A15" s="2" t="s">
        <v>343</v>
      </c>
      <c r="B15" s="2"/>
      <c r="C15" s="2" t="s">
        <v>344</v>
      </c>
      <c r="D15" s="2"/>
      <c r="E15" s="2"/>
      <c r="F15" s="2"/>
      <c r="G15" s="2"/>
      <c r="H15" s="2"/>
      <c r="I15" s="2" t="s">
        <v>345</v>
      </c>
      <c r="J15" s="2"/>
    </row>
    <row r="16" spans="1:10" ht="32.4" x14ac:dyDescent="0.25">
      <c r="A16" s="2" t="s">
        <v>346</v>
      </c>
      <c r="B16" s="2"/>
      <c r="C16" s="2" t="s">
        <v>347</v>
      </c>
      <c r="D16" s="2"/>
      <c r="E16" s="2"/>
      <c r="F16" s="2"/>
      <c r="G16" s="2"/>
      <c r="H16" s="2"/>
      <c r="I16" s="2"/>
      <c r="J16" s="2" t="s">
        <v>348</v>
      </c>
    </row>
  </sheetData>
  <mergeCells count="1">
    <mergeCell ref="A1:J2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"/>
  <sheetViews>
    <sheetView workbookViewId="0">
      <pane ySplit="5" topLeftCell="A6" activePane="bottomLeft" state="frozen"/>
      <selection pane="bottomLeft" sqref="A1:L2"/>
    </sheetView>
  </sheetViews>
  <sheetFormatPr defaultRowHeight="14.4" x14ac:dyDescent="0.25"/>
  <cols>
    <col min="1" max="1" width="10" customWidth="1"/>
    <col min="2" max="5" width="14" customWidth="1"/>
    <col min="6" max="6" width="18" customWidth="1"/>
    <col min="7" max="7" width="30" customWidth="1"/>
    <col min="8" max="12" width="12" customWidth="1"/>
  </cols>
  <sheetData>
    <row r="1" spans="1:12" x14ac:dyDescent="0.25">
      <c r="A1" s="17" t="s">
        <v>349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x14ac:dyDescent="0.25">
      <c r="A4" s="15" t="s">
        <v>350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6.2" x14ac:dyDescent="0.25">
      <c r="B5" s="8" t="s">
        <v>351</v>
      </c>
      <c r="C5" s="4">
        <f>設計計算_非表示!B6</f>
        <v>0.5</v>
      </c>
    </row>
    <row r="6" spans="1:12" ht="16.2" x14ac:dyDescent="0.25">
      <c r="A6" s="5" t="s">
        <v>352</v>
      </c>
      <c r="B6" s="5" t="s">
        <v>353</v>
      </c>
      <c r="C6" s="5" t="s">
        <v>354</v>
      </c>
      <c r="D6" s="5" t="s">
        <v>355</v>
      </c>
      <c r="E6" s="5" t="s">
        <v>351</v>
      </c>
      <c r="F6" s="5" t="s">
        <v>356</v>
      </c>
      <c r="G6" s="5" t="s">
        <v>27</v>
      </c>
    </row>
    <row r="7" spans="1:12" ht="16.2" x14ac:dyDescent="0.25">
      <c r="A7" s="2" t="s">
        <v>357</v>
      </c>
      <c r="B7" s="2">
        <v>2</v>
      </c>
      <c r="C7" s="2">
        <v>8</v>
      </c>
      <c r="D7" s="2">
        <f>B7/C7</f>
        <v>0.25</v>
      </c>
      <c r="E7" s="2">
        <f>$C$5</f>
        <v>0.5</v>
      </c>
      <c r="F7" s="2" t="str">
        <f>IF(D7&lt;E7,"KEY_VALUE","TABLE")</f>
        <v>KEY_VALUE</v>
      </c>
      <c r="G7" s="2" t="s">
        <v>358</v>
      </c>
    </row>
    <row r="8" spans="1:12" ht="16.2" x14ac:dyDescent="0.25">
      <c r="A8" s="2" t="s">
        <v>359</v>
      </c>
      <c r="B8" s="2">
        <v>4</v>
      </c>
      <c r="C8" s="2">
        <v>8</v>
      </c>
      <c r="D8" s="2">
        <f>B8/C8</f>
        <v>0.5</v>
      </c>
      <c r="E8" s="2">
        <f>$C$5</f>
        <v>0.5</v>
      </c>
      <c r="F8" s="2" t="str">
        <f>IF(D8&lt;E8,"KEY_VALUE","TABLE")</f>
        <v>TABLE</v>
      </c>
      <c r="G8" s="2" t="s">
        <v>360</v>
      </c>
    </row>
    <row r="9" spans="1:12" ht="16.2" x14ac:dyDescent="0.25">
      <c r="A9" s="2" t="s">
        <v>361</v>
      </c>
      <c r="B9" s="2">
        <v>5</v>
      </c>
      <c r="C9" s="2">
        <v>8</v>
      </c>
      <c r="D9" s="2">
        <f>B9/C9</f>
        <v>0.625</v>
      </c>
      <c r="E9" s="2">
        <f>$C$5</f>
        <v>0.5</v>
      </c>
      <c r="F9" s="2" t="str">
        <f>IF(D9&lt;E9,"KEY_VALUE","TABLE")</f>
        <v>TABLE</v>
      </c>
      <c r="G9" s="2" t="s">
        <v>362</v>
      </c>
    </row>
    <row r="10" spans="1:12" ht="16.2" x14ac:dyDescent="0.25">
      <c r="A10" s="2" t="s">
        <v>363</v>
      </c>
      <c r="B10" s="2">
        <v>8</v>
      </c>
      <c r="C10" s="2">
        <v>8</v>
      </c>
      <c r="D10" s="2">
        <f>B10/C10</f>
        <v>1</v>
      </c>
      <c r="E10" s="2">
        <f>$C$5</f>
        <v>0.5</v>
      </c>
      <c r="F10" s="2" t="str">
        <f>IF(D10&lt;E10,"KEY_VALUE","TABLE")</f>
        <v>TABLE</v>
      </c>
      <c r="G10" s="2" t="s">
        <v>364</v>
      </c>
    </row>
    <row r="13" spans="1:12" x14ac:dyDescent="0.25">
      <c r="A13" s="15" t="s">
        <v>365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32.4" x14ac:dyDescent="0.25">
      <c r="A14" s="5" t="s">
        <v>352</v>
      </c>
      <c r="B14" s="5" t="s">
        <v>366</v>
      </c>
      <c r="C14" s="5" t="s">
        <v>367</v>
      </c>
      <c r="D14" s="5" t="s">
        <v>368</v>
      </c>
      <c r="E14" s="5" t="s">
        <v>369</v>
      </c>
      <c r="F14" s="5" t="s">
        <v>370</v>
      </c>
    </row>
    <row r="15" spans="1:12" ht="32.4" x14ac:dyDescent="0.25">
      <c r="A15" s="2" t="s">
        <v>371</v>
      </c>
      <c r="B15" s="2" t="s">
        <v>372</v>
      </c>
      <c r="C15" s="2">
        <f>SUM(A1:A5)</f>
        <v>0</v>
      </c>
      <c r="D15" s="2" t="s">
        <v>223</v>
      </c>
      <c r="E15" s="2" t="s">
        <v>372</v>
      </c>
      <c r="F15" s="2" t="s">
        <v>373</v>
      </c>
    </row>
    <row r="16" spans="1:12" ht="32.4" x14ac:dyDescent="0.25">
      <c r="A16" s="2" t="s">
        <v>374</v>
      </c>
      <c r="B16" s="2"/>
      <c r="C16" s="2">
        <f>SUM(A1:A5)</f>
        <v>0</v>
      </c>
      <c r="D16" s="2" t="s">
        <v>375</v>
      </c>
      <c r="E16" s="2" t="s">
        <v>376</v>
      </c>
      <c r="F16" s="2" t="s">
        <v>377</v>
      </c>
    </row>
    <row r="17" spans="1:12" ht="16.2" x14ac:dyDescent="0.25">
      <c r="A17" s="2" t="s">
        <v>378</v>
      </c>
      <c r="B17" s="2"/>
      <c r="C17" s="2"/>
      <c r="D17" s="2" t="s">
        <v>223</v>
      </c>
      <c r="E17" s="2"/>
      <c r="F17" s="2" t="s">
        <v>379</v>
      </c>
    </row>
    <row r="20" spans="1:12" x14ac:dyDescent="0.25">
      <c r="A20" s="15" t="s">
        <v>380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2" spans="1:12" ht="64.8" x14ac:dyDescent="0.25">
      <c r="B22" s="24" t="s">
        <v>381</v>
      </c>
      <c r="C22" s="12"/>
      <c r="D22" s="12"/>
      <c r="F22" s="9" t="s">
        <v>382</v>
      </c>
    </row>
    <row r="23" spans="1:12" ht="64.8" x14ac:dyDescent="0.25">
      <c r="B23" s="10" t="s">
        <v>381</v>
      </c>
      <c r="C23" s="10" t="s">
        <v>381</v>
      </c>
      <c r="D23" s="10" t="s">
        <v>381</v>
      </c>
      <c r="F23" s="9" t="s">
        <v>383</v>
      </c>
    </row>
    <row r="24" spans="1:12" ht="16.2" x14ac:dyDescent="0.25">
      <c r="B24" s="10" t="s">
        <v>381</v>
      </c>
      <c r="C24" s="10" t="s">
        <v>381</v>
      </c>
      <c r="D24" s="10" t="s">
        <v>381</v>
      </c>
    </row>
  </sheetData>
  <mergeCells count="5">
    <mergeCell ref="A20:L20"/>
    <mergeCell ref="B22:D22"/>
    <mergeCell ref="A1:L2"/>
    <mergeCell ref="A13:L13"/>
    <mergeCell ref="A4:L4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7"/>
  <sheetViews>
    <sheetView workbookViewId="0">
      <selection sqref="A1:I2"/>
    </sheetView>
  </sheetViews>
  <sheetFormatPr defaultRowHeight="14.4" x14ac:dyDescent="0.25"/>
  <cols>
    <col min="1" max="1" width="8" customWidth="1"/>
    <col min="2" max="2" width="22" customWidth="1"/>
    <col min="3" max="3" width="38" customWidth="1"/>
    <col min="4" max="4" width="22" customWidth="1"/>
    <col min="5" max="5" width="20" customWidth="1"/>
    <col min="6" max="6" width="24" customWidth="1"/>
    <col min="7" max="7" width="10" customWidth="1"/>
    <col min="8" max="9" width="18" customWidth="1"/>
  </cols>
  <sheetData>
    <row r="1" spans="1:9" x14ac:dyDescent="0.25">
      <c r="A1" s="17" t="s">
        <v>384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12"/>
      <c r="B2" s="12"/>
      <c r="C2" s="12"/>
      <c r="D2" s="12"/>
      <c r="E2" s="12"/>
      <c r="F2" s="12"/>
      <c r="G2" s="12"/>
      <c r="H2" s="12"/>
      <c r="I2" s="12"/>
    </row>
    <row r="4" spans="1:9" x14ac:dyDescent="0.25">
      <c r="A4" s="15" t="s">
        <v>385</v>
      </c>
      <c r="B4" s="12"/>
      <c r="C4" s="12"/>
      <c r="D4" s="12"/>
      <c r="E4" s="12"/>
      <c r="F4" s="12"/>
      <c r="G4" s="12"/>
      <c r="H4" s="12"/>
      <c r="I4" s="12"/>
    </row>
    <row r="5" spans="1:9" ht="16.2" x14ac:dyDescent="0.25">
      <c r="A5" s="5" t="s">
        <v>173</v>
      </c>
      <c r="B5" s="5" t="s">
        <v>386</v>
      </c>
      <c r="C5" s="5" t="s">
        <v>387</v>
      </c>
      <c r="D5" s="5" t="s">
        <v>388</v>
      </c>
      <c r="E5" s="5" t="s">
        <v>389</v>
      </c>
      <c r="F5" s="5" t="s">
        <v>390</v>
      </c>
      <c r="G5" s="5" t="s">
        <v>23</v>
      </c>
      <c r="H5" s="5" t="s">
        <v>27</v>
      </c>
      <c r="I5" s="5" t="s">
        <v>391</v>
      </c>
    </row>
    <row r="6" spans="1:9" ht="32.4" x14ac:dyDescent="0.25">
      <c r="A6" s="2">
        <v>1</v>
      </c>
      <c r="B6" s="2" t="s">
        <v>375</v>
      </c>
      <c r="C6" s="2" t="s">
        <v>392</v>
      </c>
      <c r="D6" s="2" t="s">
        <v>196</v>
      </c>
      <c r="E6" s="2" t="s">
        <v>393</v>
      </c>
      <c r="F6" s="2" t="s">
        <v>394</v>
      </c>
      <c r="G6" s="2" t="s">
        <v>45</v>
      </c>
      <c r="H6" s="2" t="s">
        <v>395</v>
      </c>
      <c r="I6" s="2" t="s">
        <v>196</v>
      </c>
    </row>
    <row r="7" spans="1:9" ht="32.4" x14ac:dyDescent="0.25">
      <c r="A7" s="2">
        <v>2</v>
      </c>
      <c r="B7" s="2" t="s">
        <v>396</v>
      </c>
      <c r="C7" s="2" t="s">
        <v>397</v>
      </c>
      <c r="D7" s="2" t="s">
        <v>398</v>
      </c>
      <c r="E7" s="2" t="s">
        <v>399</v>
      </c>
      <c r="F7" s="2" t="s">
        <v>400</v>
      </c>
      <c r="G7" s="2" t="s">
        <v>65</v>
      </c>
      <c r="H7" s="2" t="s">
        <v>401</v>
      </c>
      <c r="I7" s="2" t="s">
        <v>398</v>
      </c>
    </row>
    <row r="8" spans="1:9" ht="32.4" x14ac:dyDescent="0.25">
      <c r="A8" s="2">
        <v>3</v>
      </c>
      <c r="B8" s="2" t="s">
        <v>330</v>
      </c>
      <c r="C8" s="2" t="s">
        <v>402</v>
      </c>
      <c r="D8" s="2" t="s">
        <v>192</v>
      </c>
      <c r="E8" s="2" t="s">
        <v>403</v>
      </c>
      <c r="F8" s="2" t="s">
        <v>404</v>
      </c>
      <c r="G8" s="2" t="s">
        <v>45</v>
      </c>
      <c r="H8" s="2" t="s">
        <v>405</v>
      </c>
      <c r="I8" s="2" t="s">
        <v>192</v>
      </c>
    </row>
    <row r="9" spans="1:9" ht="32.4" x14ac:dyDescent="0.25">
      <c r="A9" s="2">
        <v>4</v>
      </c>
      <c r="B9" s="2" t="s">
        <v>320</v>
      </c>
      <c r="C9" s="2" t="s">
        <v>406</v>
      </c>
      <c r="D9" s="2" t="s">
        <v>143</v>
      </c>
      <c r="E9" s="2" t="s">
        <v>407</v>
      </c>
      <c r="F9" s="2" t="s">
        <v>408</v>
      </c>
      <c r="G9" s="2" t="s">
        <v>45</v>
      </c>
      <c r="H9" s="2" t="s">
        <v>409</v>
      </c>
      <c r="I9" s="2" t="s">
        <v>143</v>
      </c>
    </row>
    <row r="10" spans="1:9" ht="32.4" x14ac:dyDescent="0.25">
      <c r="A10" s="2">
        <v>5</v>
      </c>
      <c r="B10" s="2" t="s">
        <v>410</v>
      </c>
      <c r="C10" s="2" t="s">
        <v>411</v>
      </c>
      <c r="D10" s="2" t="s">
        <v>398</v>
      </c>
      <c r="E10" s="2" t="s">
        <v>412</v>
      </c>
      <c r="F10" s="2" t="s">
        <v>413</v>
      </c>
      <c r="G10" s="2" t="s">
        <v>65</v>
      </c>
      <c r="H10" s="2" t="s">
        <v>414</v>
      </c>
      <c r="I10" s="2" t="s">
        <v>398</v>
      </c>
    </row>
    <row r="11" spans="1:9" ht="32.4" x14ac:dyDescent="0.25">
      <c r="A11" s="2">
        <v>6</v>
      </c>
      <c r="B11" s="2" t="s">
        <v>415</v>
      </c>
      <c r="C11" s="2" t="s">
        <v>416</v>
      </c>
      <c r="D11" s="2" t="s">
        <v>417</v>
      </c>
      <c r="E11" s="2" t="s">
        <v>418</v>
      </c>
      <c r="F11" s="2" t="s">
        <v>419</v>
      </c>
      <c r="G11" s="2" t="s">
        <v>31</v>
      </c>
      <c r="H11" s="2" t="s">
        <v>420</v>
      </c>
      <c r="I11" s="2" t="s">
        <v>417</v>
      </c>
    </row>
    <row r="14" spans="1:9" x14ac:dyDescent="0.25">
      <c r="A14" s="15" t="s">
        <v>421</v>
      </c>
      <c r="B14" s="12"/>
      <c r="C14" s="12"/>
      <c r="D14" s="12"/>
      <c r="E14" s="12"/>
      <c r="F14" s="12"/>
      <c r="G14" s="12"/>
      <c r="H14" s="12"/>
      <c r="I14" s="12"/>
    </row>
    <row r="15" spans="1:9" ht="16.2" x14ac:dyDescent="0.25">
      <c r="A15" s="5" t="s">
        <v>173</v>
      </c>
      <c r="B15" s="5" t="s">
        <v>422</v>
      </c>
      <c r="C15" s="5" t="s">
        <v>423</v>
      </c>
      <c r="D15" s="5" t="s">
        <v>424</v>
      </c>
      <c r="E15" s="5" t="s">
        <v>425</v>
      </c>
      <c r="F15" s="5" t="s">
        <v>426</v>
      </c>
      <c r="G15" s="5" t="s">
        <v>27</v>
      </c>
      <c r="H15" s="5"/>
      <c r="I15" s="5"/>
    </row>
    <row r="16" spans="1:9" ht="32.4" x14ac:dyDescent="0.25">
      <c r="A16" s="2" t="s">
        <v>314</v>
      </c>
      <c r="B16" s="2" t="s">
        <v>427</v>
      </c>
      <c r="C16" s="2" t="s">
        <v>428</v>
      </c>
      <c r="D16" s="2" t="s">
        <v>143</v>
      </c>
      <c r="E16" s="2" t="s">
        <v>429</v>
      </c>
      <c r="F16" s="2" t="s">
        <v>430</v>
      </c>
      <c r="G16" s="2" t="s">
        <v>431</v>
      </c>
      <c r="H16" s="2"/>
      <c r="I16" s="2"/>
    </row>
    <row r="17" spans="1:9" ht="48.6" x14ac:dyDescent="0.25">
      <c r="A17" s="2" t="s">
        <v>316</v>
      </c>
      <c r="B17" s="2" t="s">
        <v>427</v>
      </c>
      <c r="C17" s="2" t="s">
        <v>432</v>
      </c>
      <c r="D17" s="2" t="s">
        <v>143</v>
      </c>
      <c r="E17" s="2" t="s">
        <v>433</v>
      </c>
      <c r="F17" s="2" t="s">
        <v>434</v>
      </c>
      <c r="G17" s="2" t="s">
        <v>435</v>
      </c>
      <c r="H17" s="2"/>
      <c r="I17" s="2"/>
    </row>
  </sheetData>
  <mergeCells count="3">
    <mergeCell ref="A1:I2"/>
    <mergeCell ref="A4:I4"/>
    <mergeCell ref="A14:I14"/>
  </mergeCells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"/>
  <sheetViews>
    <sheetView workbookViewId="0">
      <selection sqref="A1:J2"/>
    </sheetView>
  </sheetViews>
  <sheetFormatPr defaultRowHeight="14.4" x14ac:dyDescent="0.25"/>
  <cols>
    <col min="1" max="1" width="10" customWidth="1"/>
    <col min="2" max="2" width="22" customWidth="1"/>
    <col min="3" max="3" width="28" customWidth="1"/>
    <col min="4" max="4" width="24" customWidth="1"/>
    <col min="5" max="5" width="16" customWidth="1"/>
    <col min="6" max="6" width="20" customWidth="1"/>
    <col min="7" max="7" width="10" customWidth="1"/>
    <col min="8" max="8" width="22" customWidth="1"/>
    <col min="9" max="9" width="16" customWidth="1"/>
    <col min="10" max="10" width="10" customWidth="1"/>
  </cols>
  <sheetData>
    <row r="1" spans="1:10" x14ac:dyDescent="0.25">
      <c r="A1" s="17" t="s">
        <v>436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</row>
    <row r="4" spans="1:10" ht="16.2" x14ac:dyDescent="0.25">
      <c r="A4" s="5" t="s">
        <v>437</v>
      </c>
      <c r="B4" s="5" t="s">
        <v>438</v>
      </c>
      <c r="C4" s="5" t="s">
        <v>439</v>
      </c>
      <c r="D4" s="5" t="s">
        <v>440</v>
      </c>
      <c r="E4" s="5" t="s">
        <v>441</v>
      </c>
      <c r="F4" s="5" t="s">
        <v>442</v>
      </c>
      <c r="G4" s="5" t="s">
        <v>443</v>
      </c>
      <c r="H4" s="5" t="s">
        <v>27</v>
      </c>
      <c r="I4" s="5" t="s">
        <v>444</v>
      </c>
      <c r="J4" s="5" t="s">
        <v>23</v>
      </c>
    </row>
    <row r="5" spans="1:10" ht="32.4" x14ac:dyDescent="0.25">
      <c r="A5" s="2" t="s">
        <v>445</v>
      </c>
      <c r="B5" s="2" t="s">
        <v>446</v>
      </c>
      <c r="C5" s="2" t="s">
        <v>447</v>
      </c>
      <c r="D5" s="2" t="s">
        <v>448</v>
      </c>
      <c r="E5" s="2" t="s">
        <v>449</v>
      </c>
      <c r="F5" s="2" t="s">
        <v>223</v>
      </c>
      <c r="G5" s="2" t="s">
        <v>45</v>
      </c>
      <c r="H5" s="2" t="s">
        <v>450</v>
      </c>
      <c r="I5" s="2" t="s">
        <v>451</v>
      </c>
      <c r="J5" s="2" t="s">
        <v>31</v>
      </c>
    </row>
    <row r="6" spans="1:10" ht="32.4" x14ac:dyDescent="0.25">
      <c r="A6" s="2" t="s">
        <v>452</v>
      </c>
      <c r="B6" s="2" t="s">
        <v>453</v>
      </c>
      <c r="C6" s="2" t="s">
        <v>454</v>
      </c>
      <c r="D6" s="2" t="s">
        <v>455</v>
      </c>
      <c r="E6" s="2" t="s">
        <v>456</v>
      </c>
      <c r="F6" s="2" t="s">
        <v>223</v>
      </c>
      <c r="G6" s="2" t="s">
        <v>45</v>
      </c>
      <c r="H6" s="2" t="s">
        <v>457</v>
      </c>
      <c r="I6" s="2" t="s">
        <v>451</v>
      </c>
      <c r="J6" s="2" t="s">
        <v>31</v>
      </c>
    </row>
    <row r="7" spans="1:10" ht="32.4" x14ac:dyDescent="0.25">
      <c r="A7" s="2" t="s">
        <v>458</v>
      </c>
      <c r="B7" s="2" t="s">
        <v>459</v>
      </c>
      <c r="C7" s="2" t="s">
        <v>192</v>
      </c>
      <c r="D7" s="2" t="s">
        <v>460</v>
      </c>
      <c r="E7" s="2" t="s">
        <v>461</v>
      </c>
      <c r="F7" s="2" t="s">
        <v>330</v>
      </c>
      <c r="G7" s="2" t="s">
        <v>31</v>
      </c>
      <c r="H7" s="2" t="s">
        <v>462</v>
      </c>
      <c r="I7" s="2" t="s">
        <v>463</v>
      </c>
      <c r="J7" s="2" t="s">
        <v>31</v>
      </c>
    </row>
    <row r="8" spans="1:10" ht="32.4" x14ac:dyDescent="0.25">
      <c r="A8" s="2" t="s">
        <v>464</v>
      </c>
      <c r="B8" s="2" t="s">
        <v>465</v>
      </c>
      <c r="C8" s="2" t="s">
        <v>196</v>
      </c>
      <c r="D8" s="2" t="s">
        <v>466</v>
      </c>
      <c r="E8" s="2" t="s">
        <v>449</v>
      </c>
      <c r="F8" s="2" t="s">
        <v>375</v>
      </c>
      <c r="G8" s="2" t="s">
        <v>31</v>
      </c>
      <c r="H8" s="2" t="s">
        <v>467</v>
      </c>
      <c r="I8" s="2" t="s">
        <v>468</v>
      </c>
      <c r="J8" s="2" t="s">
        <v>31</v>
      </c>
    </row>
    <row r="9" spans="1:10" ht="32.4" x14ac:dyDescent="0.25">
      <c r="A9" s="2" t="s">
        <v>469</v>
      </c>
      <c r="B9" s="2" t="s">
        <v>407</v>
      </c>
      <c r="C9" s="2" t="s">
        <v>143</v>
      </c>
      <c r="D9" s="2" t="s">
        <v>470</v>
      </c>
      <c r="E9" s="2" t="s">
        <v>223</v>
      </c>
      <c r="F9" s="2" t="s">
        <v>320</v>
      </c>
      <c r="G9" s="2" t="s">
        <v>45</v>
      </c>
      <c r="H9" s="2" t="s">
        <v>471</v>
      </c>
      <c r="I9" s="2" t="s">
        <v>468</v>
      </c>
      <c r="J9" s="2" t="s">
        <v>45</v>
      </c>
    </row>
    <row r="10" spans="1:10" ht="32.4" x14ac:dyDescent="0.25">
      <c r="A10" s="2" t="s">
        <v>472</v>
      </c>
      <c r="B10" s="2" t="s">
        <v>473</v>
      </c>
      <c r="C10" s="2" t="s">
        <v>198</v>
      </c>
      <c r="D10" s="2" t="s">
        <v>474</v>
      </c>
      <c r="E10" s="2" t="s">
        <v>223</v>
      </c>
      <c r="F10" s="2" t="s">
        <v>223</v>
      </c>
      <c r="G10" s="2" t="s">
        <v>65</v>
      </c>
      <c r="H10" s="2" t="s">
        <v>475</v>
      </c>
      <c r="I10" s="2" t="s">
        <v>476</v>
      </c>
      <c r="J10" s="2" t="s">
        <v>45</v>
      </c>
    </row>
    <row r="11" spans="1:10" ht="32.4" x14ac:dyDescent="0.25">
      <c r="A11" s="2" t="s">
        <v>477</v>
      </c>
      <c r="B11" s="2" t="s">
        <v>478</v>
      </c>
      <c r="C11" s="2" t="s">
        <v>479</v>
      </c>
      <c r="D11" s="2" t="s">
        <v>480</v>
      </c>
      <c r="E11" s="2" t="s">
        <v>481</v>
      </c>
      <c r="F11" s="2" t="s">
        <v>223</v>
      </c>
      <c r="G11" s="2" t="s">
        <v>45</v>
      </c>
      <c r="H11" s="2" t="s">
        <v>482</v>
      </c>
      <c r="I11" s="2" t="s">
        <v>451</v>
      </c>
      <c r="J11" s="2" t="s">
        <v>31</v>
      </c>
    </row>
  </sheetData>
  <autoFilter ref="A4:J11" xr:uid="{00000000-0009-0000-0000-000009000000}"/>
  <mergeCells count="1">
    <mergeCell ref="A1:J2"/>
  </mergeCells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4.4" x14ac:dyDescent="0.25"/>
  <sheetData>
    <row r="1" spans="1:2" x14ac:dyDescent="0.25">
      <c r="A1" t="s">
        <v>112</v>
      </c>
      <c r="B1" t="s">
        <v>483</v>
      </c>
    </row>
    <row r="2" spans="1:2" x14ac:dyDescent="0.25">
      <c r="A2" t="s">
        <v>484</v>
      </c>
      <c r="B2">
        <v>1200</v>
      </c>
    </row>
    <row r="3" spans="1:2" x14ac:dyDescent="0.25">
      <c r="A3" t="s">
        <v>485</v>
      </c>
      <c r="B3">
        <v>0.35</v>
      </c>
    </row>
    <row r="4" spans="1:2" x14ac:dyDescent="0.25">
      <c r="A4" t="s">
        <v>486</v>
      </c>
      <c r="B4">
        <f>B2*(1+B3)</f>
        <v>1620</v>
      </c>
    </row>
  </sheetData>
  <phoneticPr fontId="7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/>
  </sheetViews>
  <sheetFormatPr defaultRowHeight="14.4" x14ac:dyDescent="0.25"/>
  <sheetData>
    <row r="1" spans="1:2" x14ac:dyDescent="0.25">
      <c r="A1" t="s">
        <v>487</v>
      </c>
      <c r="B1" t="s">
        <v>488</v>
      </c>
    </row>
    <row r="2" spans="1:2" x14ac:dyDescent="0.25">
      <c r="A2" t="s">
        <v>489</v>
      </c>
      <c r="B2">
        <v>10</v>
      </c>
    </row>
    <row r="3" spans="1:2" x14ac:dyDescent="0.25">
      <c r="A3" t="s">
        <v>490</v>
      </c>
      <c r="B3">
        <v>3</v>
      </c>
    </row>
    <row r="4" spans="1:2" x14ac:dyDescent="0.25">
      <c r="A4" t="s">
        <v>491</v>
      </c>
      <c r="B4">
        <v>7</v>
      </c>
    </row>
    <row r="5" spans="1:2" x14ac:dyDescent="0.25">
      <c r="A5" t="s">
        <v>492</v>
      </c>
      <c r="B5">
        <v>6</v>
      </c>
    </row>
    <row r="6" spans="1:2" x14ac:dyDescent="0.25">
      <c r="A6" t="s">
        <v>493</v>
      </c>
      <c r="B6">
        <v>0.5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基本設計</vt:lpstr>
      <vt:lpstr>DB定義</vt:lpstr>
      <vt:lpstr>API仕様</vt:lpstr>
      <vt:lpstr>画面設計</vt:lpstr>
      <vt:lpstr>ExcelParser詳細</vt:lpstr>
      <vt:lpstr>メソッドマトリクス</vt:lpstr>
      <vt:lpstr>処理シーケンス</vt:lpstr>
      <vt:lpstr>判定ロジック</vt:lpstr>
      <vt:lpstr>警告・例外一覧</vt:lpstr>
      <vt:lpstr>テスト観点</vt:lpstr>
      <vt:lpstr>計算用_非表示</vt:lpstr>
      <vt:lpstr>設計計算_非表示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peng</cp:lastModifiedBy>
  <dcterms:created xsi:type="dcterms:W3CDTF">2026-03-08T14:04:38Z</dcterms:created>
  <dcterms:modified xsi:type="dcterms:W3CDTF">2026-03-08T14:07:16Z</dcterms:modified>
</cp:coreProperties>
</file>